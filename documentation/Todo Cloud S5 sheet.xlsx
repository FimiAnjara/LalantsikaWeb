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e" sheetId="1" r:id="rId5"/>
    <sheet state="visible" name="liste des taches" sheetId="2" r:id="rId6"/>
    <sheet state="visible" name="Recap" sheetId="3" r:id="rId7"/>
    <sheet state="visible" name="detail_avancement" sheetId="4" r:id="rId8"/>
    <sheet state="visible" name="avancement" sheetId="5" r:id="rId9"/>
  </sheets>
  <definedNames>
    <definedName hidden="1" localSheetId="1" name="Z_1E602C4F_0A14_45E3_847C_A2D7EA53E9ED_.wvu.FilterData">'liste des taches'!$A$1:$K$76</definedName>
  </definedNames>
  <calcPr/>
  <customWorkbookViews>
    <customWorkbookView activeSheetId="0" maximized="1" windowHeight="0" windowWidth="0" guid="{1E602C4F-0A14-45E3-847C-A2D7EA53E9ED}" name="tache de Kiady"/>
  </customWorkbookViews>
  <pivotCaches>
    <pivotCache cacheId="0" r:id="rId10"/>
  </pivotCaches>
</workbook>
</file>

<file path=xl/sharedStrings.xml><?xml version="1.0" encoding="utf-8"?>
<sst xmlns="http://schemas.openxmlformats.org/spreadsheetml/2006/main" count="639" uniqueCount="145">
  <si>
    <t>ETU003263</t>
  </si>
  <si>
    <t>Anjaramandresiarisoa Fiononana Mitia</t>
  </si>
  <si>
    <t>ETU003343</t>
  </si>
  <si>
    <t>RANDRIANANTENAINA Sedera Valisoa</t>
  </si>
  <si>
    <t>ETU003356</t>
  </si>
  <si>
    <t>RASOLOFOSON Benjanirina Kiady</t>
  </si>
  <si>
    <t>ETU003365</t>
  </si>
  <si>
    <t>RAVOMANANA Sylvio Andriakoto</t>
  </si>
  <si>
    <t>Ligne</t>
  </si>
  <si>
    <t>Catégorie</t>
  </si>
  <si>
    <t>Module</t>
  </si>
  <si>
    <t>Page</t>
  </si>
  <si>
    <t>Description desTaches</t>
  </si>
  <si>
    <t>Type</t>
  </si>
  <si>
    <t>Qui</t>
  </si>
  <si>
    <t>Estimation</t>
  </si>
  <si>
    <t>Temps passé</t>
  </si>
  <si>
    <t>Reste à faire</t>
  </si>
  <si>
    <t>Avancement</t>
  </si>
  <si>
    <t>Backoffice</t>
  </si>
  <si>
    <t>Gestion Connection</t>
  </si>
  <si>
    <t>login manager/index</t>
  </si>
  <si>
    <t>Login firebase</t>
  </si>
  <si>
    <t>Metier</t>
  </si>
  <si>
    <t>Login Postgres</t>
  </si>
  <si>
    <t>Authentification</t>
  </si>
  <si>
    <t>Integration</t>
  </si>
  <si>
    <t>formulaire de login</t>
  </si>
  <si>
    <t>Affichage</t>
  </si>
  <si>
    <t>Frontoffice</t>
  </si>
  <si>
    <t>login utilisateur/index</t>
  </si>
  <si>
    <t>vue +css</t>
  </si>
  <si>
    <t>Gestion Parametre Blocage</t>
  </si>
  <si>
    <t>Parametre</t>
  </si>
  <si>
    <t>get</t>
  </si>
  <si>
    <t>Global</t>
  </si>
  <si>
    <t>Gestion Utilisateur</t>
  </si>
  <si>
    <t>liste des utilisateurs</t>
  </si>
  <si>
    <t>List</t>
  </si>
  <si>
    <t>Deblocage</t>
  </si>
  <si>
    <t>modif utilisateur</t>
  </si>
  <si>
    <t>Modification</t>
  </si>
  <si>
    <t>ajout utilisateur</t>
  </si>
  <si>
    <t>register firebase</t>
  </si>
  <si>
    <t>insert postgres</t>
  </si>
  <si>
    <t>Ajout</t>
  </si>
  <si>
    <t>Formulaire d'ajout utilisateur</t>
  </si>
  <si>
    <t>Gestion Signalement</t>
  </si>
  <si>
    <t>liste des signalements</t>
  </si>
  <si>
    <t>liste des signaments</t>
  </si>
  <si>
    <t>Filtre</t>
  </si>
  <si>
    <t xml:space="preserve">Gestion Info Signalement </t>
  </si>
  <si>
    <t>modif detail signalement</t>
  </si>
  <si>
    <t>Gestion Info Signalement</t>
  </si>
  <si>
    <t>Gestion Carte</t>
  </si>
  <si>
    <t>carte de list signalements</t>
  </si>
  <si>
    <t>Gestion Carte (web)</t>
  </si>
  <si>
    <t>Gestion Carte(mobile)</t>
  </si>
  <si>
    <t>formulaire d'ajout signalement</t>
  </si>
  <si>
    <t>Fiche</t>
  </si>
  <si>
    <t>Gestion Synchronisation</t>
  </si>
  <si>
    <t>global</t>
  </si>
  <si>
    <t xml:space="preserve"> Envoie</t>
  </si>
  <si>
    <t>Envoie</t>
  </si>
  <si>
    <t>Docker</t>
  </si>
  <si>
    <t>Gestion de contenaire docker</t>
  </si>
  <si>
    <t>creation docker-compose</t>
  </si>
  <si>
    <t>creation dockerfile</t>
  </si>
  <si>
    <t>Installation image et preparation supplementaire</t>
  </si>
  <si>
    <t>Gestion Tableau Recapitulatif</t>
  </si>
  <si>
    <t>page de recapitulation</t>
  </si>
  <si>
    <t>getRecapSignalement</t>
  </si>
  <si>
    <t>Gestion Tableau Recupitulatif</t>
  </si>
  <si>
    <t>Recuperation</t>
  </si>
  <si>
    <t>Gestion Signalement Status</t>
  </si>
  <si>
    <t>fiche de signalement</t>
  </si>
  <si>
    <t>Gestion des sessions et authentification</t>
  </si>
  <si>
    <t>protectedRoute</t>
  </si>
  <si>
    <t>Gestion sychronsation</t>
  </si>
  <si>
    <t xml:space="preserve">parametre </t>
  </si>
  <si>
    <t>getAllNoSyncPostgres</t>
  </si>
  <si>
    <t>getAllNoSyncFirebase</t>
  </si>
  <si>
    <t>Gestion signalement</t>
  </si>
  <si>
    <t>asigner  signalement</t>
  </si>
  <si>
    <t>fenetre dans le fiche signalement</t>
  </si>
  <si>
    <t>affichage</t>
  </si>
  <si>
    <t>updateSignalement</t>
  </si>
  <si>
    <t xml:space="preserve">Swagger </t>
  </si>
  <si>
    <t>api/docummentation</t>
  </si>
  <si>
    <t>ajout annotation sur tous les controller</t>
  </si>
  <si>
    <t>synchro utilisateur</t>
  </si>
  <si>
    <t>synchroUtilisateur</t>
  </si>
  <si>
    <t>synchroniser l'utilisateur envoye/recupere</t>
  </si>
  <si>
    <t>synchronisation global</t>
  </si>
  <si>
    <t>synchroStatus</t>
  </si>
  <si>
    <t>Synchronisation global</t>
  </si>
  <si>
    <t>RecuperationSyncSignalement</t>
  </si>
  <si>
    <t>EnvoieSignalement</t>
  </si>
  <si>
    <t>RecuperationSyncStatutSignalement</t>
  </si>
  <si>
    <t>EnvoieStatutSignalement</t>
  </si>
  <si>
    <t>integration via le bouton</t>
  </si>
  <si>
    <t>Fiche de signalement</t>
  </si>
  <si>
    <t>AddImageSignalement</t>
  </si>
  <si>
    <t>Documentation technique</t>
  </si>
  <si>
    <t>Fiche de signalemnt</t>
  </si>
  <si>
    <t xml:space="preserve">appel api </t>
  </si>
  <si>
    <t>integration</t>
  </si>
  <si>
    <t>vue+css</t>
  </si>
  <si>
    <t>Gestion Notification</t>
  </si>
  <si>
    <t>EnvoyeNotif</t>
  </si>
  <si>
    <t>metier</t>
  </si>
  <si>
    <t>EnregistrementNotifFirebase</t>
  </si>
  <si>
    <t>list notification</t>
  </si>
  <si>
    <t>getNotif</t>
  </si>
  <si>
    <t>Refactor css visiteur</t>
  </si>
  <si>
    <t>Refactor css utilisateur (mobile)</t>
  </si>
  <si>
    <t>Refactor css manager</t>
  </si>
  <si>
    <t>Teste Visiteur</t>
  </si>
  <si>
    <t>Teste Manager</t>
  </si>
  <si>
    <t>Teste Utilisateur</t>
  </si>
  <si>
    <t>carte visiteur</t>
  </si>
  <si>
    <t>add lien for app and add logo</t>
  </si>
  <si>
    <t xml:space="preserve">docker </t>
  </si>
  <si>
    <t>add migration and seeder on dockercompose</t>
  </si>
  <si>
    <t>add node module</t>
  </si>
  <si>
    <t>asignation de signalemnt</t>
  </si>
  <si>
    <t xml:space="preserve">add niveau du vue </t>
  </si>
  <si>
    <t>updatesignalement</t>
  </si>
  <si>
    <t>detail signalement</t>
  </si>
  <si>
    <t>calculbugetTotal</t>
  </si>
  <si>
    <t>postman</t>
  </si>
  <si>
    <t>ajouter une collection postman</t>
  </si>
  <si>
    <t>SUM de Estimation</t>
  </si>
  <si>
    <t>SUM de Temps passé</t>
  </si>
  <si>
    <t>SUM de Reste à faire</t>
  </si>
  <si>
    <t>Total général</t>
  </si>
  <si>
    <t>Total</t>
  </si>
  <si>
    <t xml:space="preserve"> </t>
  </si>
  <si>
    <t>estimation total</t>
  </si>
  <si>
    <t>temps passé total</t>
  </si>
  <si>
    <t>reste à faire total</t>
  </si>
  <si>
    <t>avancement</t>
  </si>
  <si>
    <t>dépassement</t>
  </si>
  <si>
    <t>Echelle</t>
  </si>
  <si>
    <t>heure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</si>
</sst>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d/m"/>
  </numFmts>
  <fonts count="18">
    <font>
      <sz val="10.0"/>
      <color rgb="FF000000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  <font>
      <b/>
      <color rgb="FF000000"/>
      <name val="Arial"/>
    </font>
    <font>
      <b/>
      <color rgb="FF000000"/>
      <name val="Liberation Serif"/>
    </font>
    <font>
      <color rgb="FF000000"/>
      <name val="Arial"/>
      <scheme val="minor"/>
    </font>
    <font>
      <sz val="8.0"/>
      <color rgb="FF000000"/>
      <name val="Arial"/>
      <scheme val="minor"/>
    </font>
    <font>
      <sz val="8.0"/>
      <color rgb="FF000000"/>
      <name val="Arial"/>
    </font>
    <font>
      <sz val="8.0"/>
      <color rgb="FF000000"/>
      <name val="Liberation Serif"/>
    </font>
    <font>
      <sz val="8.0"/>
      <color theme="1"/>
      <name val="Arial"/>
      <scheme val="minor"/>
    </font>
    <font>
      <strike/>
      <color theme="1"/>
      <name val="Arial"/>
      <scheme val="minor"/>
    </font>
    <font>
      <b/>
      <color theme="1"/>
      <name val="Arial"/>
    </font>
    <font>
      <b/>
      <sz val="12.0"/>
      <color theme="1"/>
      <name val="Arial"/>
    </font>
    <font>
      <color theme="1"/>
      <name val="Arial"/>
    </font>
    <font>
      <sz val="12.0"/>
      <color theme="1"/>
      <name val="Arial"/>
    </font>
    <font>
      <sz val="12.0"/>
      <color theme="1"/>
      <name val="Aptos Narrow"/>
    </font>
    <font>
      <b/>
      <sz val="12.0"/>
      <color theme="1"/>
      <name val="Aptos Narrow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95DCF7"/>
        <bgColor rgb="FF95DCF7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left" readingOrder="0" vertical="bottom"/>
    </xf>
    <xf borderId="2" fillId="2" fontId="2" numFmtId="0" xfId="0" applyAlignment="1" applyBorder="1" applyFont="1">
      <alignment horizontal="left" readingOrder="0" vertical="bottom"/>
    </xf>
    <xf borderId="1" fillId="2" fontId="3" numFmtId="0" xfId="0" applyAlignment="1" applyBorder="1" applyFont="1">
      <alignment horizontal="left" readingOrder="0" vertical="bottom"/>
    </xf>
    <xf borderId="1" fillId="2" fontId="4" numFmtId="0" xfId="0" applyAlignment="1" applyBorder="1" applyFont="1">
      <alignment horizontal="left" readingOrder="0" vertical="bottom"/>
    </xf>
    <xf borderId="0" fillId="3" fontId="2" numFmtId="0" xfId="0" applyAlignment="1" applyFill="1" applyFont="1">
      <alignment horizontal="left" readingOrder="0" vertical="bottom"/>
    </xf>
    <xf borderId="0" fillId="3" fontId="4" numFmtId="0" xfId="0" applyAlignment="1" applyFont="1">
      <alignment horizontal="left" readingOrder="0" vertical="bottom"/>
    </xf>
    <xf borderId="1" fillId="0" fontId="5" numFmtId="0" xfId="0" applyAlignment="1" applyBorder="1" applyFont="1">
      <alignment horizontal="left" readingOrder="0" vertical="bottom"/>
    </xf>
    <xf borderId="2" fillId="0" fontId="5" numFmtId="0" xfId="0" applyAlignment="1" applyBorder="1" applyFont="1">
      <alignment horizontal="left" readingOrder="0" vertical="bottom"/>
    </xf>
    <xf borderId="1" fillId="0" fontId="6" numFmtId="0" xfId="0" applyAlignment="1" applyBorder="1" applyFont="1">
      <alignment horizontal="left" readingOrder="0" vertical="bottom"/>
    </xf>
    <xf borderId="1" fillId="0" fontId="7" numFmtId="0" xfId="0" applyAlignment="1" applyBorder="1" applyFont="1">
      <alignment horizontal="left" readingOrder="0" vertical="bottom"/>
    </xf>
    <xf borderId="1" fillId="0" fontId="8" numFmtId="0" xfId="0" applyAlignment="1" applyBorder="1" applyFont="1">
      <alignment horizontal="left" readingOrder="0" vertical="bottom"/>
    </xf>
    <xf borderId="1" fillId="0" fontId="5" numFmtId="0" xfId="0" applyAlignment="1" applyBorder="1" applyFont="1">
      <alignment horizontal="right" readingOrder="0" vertical="bottom"/>
    </xf>
    <xf borderId="1" fillId="0" fontId="1" numFmtId="0" xfId="0" applyAlignment="1" applyBorder="1" applyFont="1">
      <alignment horizontal="right" readingOrder="0" vertical="bottom"/>
    </xf>
    <xf borderId="1" fillId="0" fontId="1" numFmtId="0" xfId="0" applyAlignment="1" applyBorder="1" applyFont="1">
      <alignment horizontal="right" vertical="bottom"/>
    </xf>
    <xf borderId="1" fillId="0" fontId="1" numFmtId="164" xfId="0" applyAlignment="1" applyBorder="1" applyFont="1" applyNumberFormat="1">
      <alignment horizontal="right" vertical="bottom"/>
    </xf>
    <xf borderId="0" fillId="0" fontId="5" numFmtId="0" xfId="0" applyAlignment="1" applyFont="1">
      <alignment horizontal="left" readingOrder="0" vertical="bottom"/>
    </xf>
    <xf borderId="0" fillId="0" fontId="6" numFmtId="0" xfId="0" applyAlignment="1" applyFont="1">
      <alignment horizontal="left" readingOrder="0" vertical="bottom"/>
    </xf>
    <xf borderId="0" fillId="0" fontId="8" numFmtId="0" xfId="0" applyAlignment="1" applyFont="1">
      <alignment horizontal="left"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7" numFmtId="0" xfId="0" applyAlignment="1" applyFont="1">
      <alignment horizontal="left" readingOrder="0" vertical="bottom"/>
    </xf>
    <xf borderId="0" fillId="0" fontId="6" numFmtId="0" xfId="0" applyAlignment="1" applyFont="1">
      <alignment readingOrder="0"/>
    </xf>
    <xf borderId="1" fillId="0" fontId="9" numFmtId="0" xfId="0" applyAlignment="1" applyBorder="1" applyFont="1">
      <alignment readingOrder="0"/>
    </xf>
    <xf borderId="0" fillId="0" fontId="10" numFmtId="0" xfId="0" applyFont="1"/>
    <xf borderId="0" fillId="0" fontId="1" numFmtId="0" xfId="0" applyFont="1"/>
    <xf borderId="0" fillId="4" fontId="11" numFmtId="0" xfId="0" applyAlignment="1" applyFill="1" applyFont="1">
      <alignment vertical="bottom"/>
    </xf>
    <xf borderId="0" fillId="4" fontId="11" numFmtId="10" xfId="0" applyAlignment="1" applyFont="1" applyNumberFormat="1">
      <alignment horizontal="right" vertical="bottom"/>
    </xf>
    <xf borderId="0" fillId="5" fontId="12" numFmtId="0" xfId="0" applyAlignment="1" applyFill="1" applyFont="1">
      <alignment vertical="bottom"/>
    </xf>
    <xf borderId="0" fillId="0" fontId="12" numFmtId="0" xfId="0" applyAlignment="1" applyFont="1">
      <alignment vertical="bottom"/>
    </xf>
    <xf borderId="0" fillId="0" fontId="12" numFmtId="165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5" numFmtId="0" xfId="0" applyAlignment="1" applyFont="1">
      <alignment horizontal="right" vertical="bottom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horizontal="right" readingOrder="0"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3" fillId="5" fontId="16" numFmtId="0" xfId="0" applyAlignment="1" applyBorder="1" applyFont="1">
      <alignment vertical="bottom"/>
    </xf>
    <xf borderId="0" fillId="5" fontId="17" numFmtId="0" xfId="0" applyAlignment="1" applyFont="1">
      <alignment readingOrder="0"/>
    </xf>
    <xf borderId="0" fillId="0" fontId="15" numFmtId="10" xfId="0" applyAlignment="1" applyFont="1" applyNumberFormat="1">
      <alignment horizontal="right" vertical="bottom"/>
    </xf>
    <xf borderId="0" fillId="0" fontId="15" numFmtId="9" xfId="0" applyAlignment="1" applyFont="1" applyNumberFormat="1">
      <alignment horizontal="right" vertical="bottom"/>
    </xf>
    <xf borderId="0" fillId="0" fontId="1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K103" sheet="liste des taches"/>
  </cacheSource>
  <cacheFields>
    <cacheField name="Catégorie" numFmtId="0">
      <sharedItems>
        <s v="Backoffice"/>
        <s v="Frontoffice"/>
        <s v="Docker"/>
      </sharedItems>
    </cacheField>
    <cacheField name="Module" numFmtId="0">
      <sharedItems>
        <s v="Gestion Connection"/>
        <s v="Gestion Parametre Blocage"/>
        <s v="Gestion Utilisateur"/>
        <s v="Gestion Signalement"/>
        <s v="Gestion Info Signalement "/>
        <s v="Gestion Info Signalement"/>
        <s v="Gestion Carte"/>
        <s v="Gestion Carte (web)"/>
        <s v="Gestion Carte(mobile)"/>
        <s v="Gestion Synchronisation"/>
        <s v="Gestion de contenaire docker"/>
        <s v="Gestion Tableau Recapitulatif"/>
        <s v="Gestion Tableau Recupitulatif"/>
        <s v="Gestion Signalement Status"/>
        <s v="Gestion des sessions et authentification"/>
        <s v="Gestion sychronsation"/>
        <s v="Swagger "/>
        <s v="Documentation technique"/>
        <s v="Gestion Notification"/>
        <s v="Refactor css visiteur"/>
        <s v="Refactor css utilisateur (mobile)"/>
        <s v="Refactor css manager"/>
        <s v="Teste Visiteur"/>
        <s v="Teste Manager"/>
        <s v="Teste Utilisateur"/>
        <s v="carte visiteur"/>
        <s v="docker "/>
        <s v="postman"/>
      </sharedItems>
    </cacheField>
    <cacheField name="Page" numFmtId="0">
      <sharedItems containsBlank="1">
        <s v="login manager/index"/>
        <s v="login utilisateur/index"/>
        <s v="Parametre"/>
        <s v="liste des utilisateurs"/>
        <s v="modif utilisateur"/>
        <s v="ajout utilisateur"/>
        <s v="liste des signalements"/>
        <s v="liste des signaments"/>
        <s v="modif detail signalement"/>
        <s v="carte de list signalements"/>
        <s v="formulaire d'ajout signalement"/>
        <s v="global"/>
        <m/>
        <s v="page de recapitulation"/>
        <s v="fiche de signalement"/>
        <s v="protectedRoute"/>
        <s v="parametre "/>
        <s v="asigner  signalement"/>
        <s v="api/docummentation"/>
        <s v="synchro utilisateur"/>
        <s v="synchronisation global"/>
        <s v="Fiche de signalemnt"/>
        <s v="list notification"/>
        <s v="add lien for app and add logo"/>
        <s v="asignation de signalemnt"/>
        <s v="detail signalement"/>
      </sharedItems>
    </cacheField>
    <cacheField name="Description desTaches" numFmtId="0">
      <sharedItems containsBlank="1">
        <s v="Login firebase"/>
        <s v="Login Postgres"/>
        <s v="Authentification"/>
        <s v="formulaire de login"/>
        <s v="vue +css"/>
        <s v="get"/>
        <s v="Global"/>
        <s v="List"/>
        <s v="Deblocage"/>
        <s v="Modification"/>
        <s v="register firebase"/>
        <s v="insert postgres"/>
        <s v="Ajout"/>
        <s v="Formulaire d'ajout utilisateur"/>
        <s v="Filtre"/>
        <s v="Fiche"/>
        <s v=" Envoie"/>
        <s v="Envoie"/>
        <s v="creation docker-compose"/>
        <s v="creation dockerfile"/>
        <s v="Installation image et preparation supplementaire"/>
        <s v="getRecapSignalement"/>
        <s v="Recuperation"/>
        <s v="getAllNoSyncPostgres"/>
        <s v="getAllNoSyncFirebase"/>
        <s v="fenetre dans le fiche signalement"/>
        <s v="updateSignalement"/>
        <s v="ajout annotation sur tous les controller"/>
        <s v="synchroUtilisateur"/>
        <s v="synchroniser l'utilisateur envoye/recupere"/>
        <s v="synchroStatus"/>
        <s v="RecuperationSyncSignalement"/>
        <s v="EnvoieSignalement"/>
        <s v="RecuperationSyncStatutSignalement"/>
        <s v="EnvoieStatutSignalement"/>
        <s v="integration via le bouton"/>
        <s v="AddImageSignalement"/>
        <m/>
        <s v="appel api "/>
        <s v="vue+css"/>
        <s v="EnvoyeNotif"/>
        <s v="EnregistrementNotifFirebase"/>
        <s v="getNotif"/>
        <s v="add migration and seeder on dockercompose"/>
        <s v="add node module"/>
        <s v="add niveau du vue "/>
        <s v="calculbugetTotal"/>
        <s v="ajouter une collection postman"/>
      </sharedItems>
    </cacheField>
    <cacheField name="Type" numFmtId="0">
      <sharedItems containsBlank="1">
        <s v="Metier"/>
        <s v="Integration"/>
        <s v="Affichage"/>
        <m/>
        <s v="global"/>
      </sharedItems>
    </cacheField>
    <cacheField name="Qui" numFmtId="0">
      <sharedItems>
        <s v="ETU003263"/>
        <s v="ETU003365"/>
        <s v="ETU003343"/>
        <s v="ETU003356"/>
      </sharedItems>
    </cacheField>
    <cacheField name="Estimation" numFmtId="0">
      <sharedItems containsSemiMixedTypes="0" containsString="0" containsNumber="1" containsInteger="1">
        <n v="60.0"/>
        <n v="30.0"/>
        <n v="20.0"/>
        <n v="45.0"/>
        <n v="35.0"/>
        <n v="10.0"/>
        <n v="40.0"/>
        <n v="25.0"/>
        <n v="15.0"/>
      </sharedItems>
    </cacheField>
    <cacheField name="Temps passé" numFmtId="0">
      <sharedItems containsSemiMixedTypes="0" containsString="0" containsNumber="1" containsInteger="1">
        <n v="60.0"/>
        <n v="30.0"/>
        <n v="20.0"/>
        <n v="45.0"/>
        <n v="35.0"/>
        <n v="10.0"/>
        <n v="25.0"/>
        <n v="40.0"/>
        <n v="15.0"/>
      </sharedItems>
    </cacheField>
    <cacheField name="Reste à faire" numFmtId="0">
      <sharedItems containsSemiMixedTypes="0" containsString="0" containsNumber="1" containsInteger="1">
        <n v="0.0"/>
      </sharedItems>
    </cacheField>
    <cacheField name="Avancement" numFmtId="164">
      <sharedItems containsSemiMixedTypes="0" containsString="0" containsNumber="1" containsInteger="1">
        <n v="1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cap" cacheId="0" dataCaption="" compact="0" compactData="0">
  <location ref="A1:D6" firstHeaderRow="0" firstDataRow="2" firstDataCol="0"/>
  <pivotFields>
    <pivotField name="Catégorie" compact="0" outline="0" multipleItemSelectionAllowed="1" showAll="0">
      <items>
        <item x="0"/>
        <item x="1"/>
        <item x="2"/>
        <item t="default"/>
      </items>
    </pivotField>
    <pivotField name="Modu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Description desTach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i" axis="axisRow" compact="0" outline="0" multipleItemSelectionAllowed="1" showAll="0" sortType="ascending">
      <items>
        <item x="0"/>
        <item x="2"/>
        <item x="3"/>
        <item x="1"/>
        <item t="default"/>
      </items>
    </pivotField>
    <pivotField name="Estimat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emps passé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Reste à faire" dataField="1" compact="0" outline="0" multipleItemSelectionAllowed="1" showAll="0">
      <items>
        <item x="0"/>
        <item t="default"/>
      </items>
    </pivotField>
    <pivotField name="Avancement" compact="0" numFmtId="164" outline="0" multipleItemSelectionAllowed="1" showAll="0">
      <items>
        <item x="0"/>
        <item t="default"/>
      </items>
    </pivotField>
  </pivotFields>
  <rowFields>
    <field x="5"/>
  </rowFields>
  <colFields>
    <field x="-2"/>
  </colFields>
  <dataFields>
    <dataField name="SUM of Estimation" fld="6" baseField="0"/>
    <dataField name="SUM of Temps passé" fld="7" baseField="0"/>
    <dataField name="SUM of Reste à faire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8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3.25"/>
    <col customWidth="1" min="4" max="4" width="17.5"/>
    <col customWidth="1" min="5" max="5" width="35.63"/>
    <col customWidth="1" min="14" max="14" width="19.38"/>
  </cols>
  <sheetData>
    <row r="1">
      <c r="A1" s="2" t="s">
        <v>8</v>
      </c>
      <c r="B1" s="3" t="s">
        <v>9</v>
      </c>
      <c r="C1" s="2" t="s">
        <v>10</v>
      </c>
      <c r="D1" s="4" t="s">
        <v>11</v>
      </c>
      <c r="E1" s="4" t="s">
        <v>12</v>
      </c>
      <c r="F1" s="5" t="s">
        <v>13</v>
      </c>
      <c r="G1" s="4" t="s">
        <v>14</v>
      </c>
      <c r="H1" s="5" t="s">
        <v>15</v>
      </c>
      <c r="I1" s="4" t="s">
        <v>16</v>
      </c>
      <c r="J1" s="4" t="s">
        <v>17</v>
      </c>
      <c r="K1" s="5" t="s">
        <v>18</v>
      </c>
      <c r="M1" s="6"/>
      <c r="N1" s="6"/>
      <c r="O1" s="7"/>
      <c r="P1" s="7"/>
      <c r="Q1" s="7"/>
      <c r="R1" s="7"/>
      <c r="S1" s="7"/>
      <c r="T1" s="7"/>
      <c r="U1" s="7"/>
    </row>
    <row r="2">
      <c r="A2" s="8">
        <v>1.0</v>
      </c>
      <c r="B2" s="9" t="s">
        <v>19</v>
      </c>
      <c r="C2" s="10" t="s">
        <v>20</v>
      </c>
      <c r="D2" s="11" t="s">
        <v>21</v>
      </c>
      <c r="E2" s="11" t="s">
        <v>22</v>
      </c>
      <c r="F2" s="12" t="s">
        <v>23</v>
      </c>
      <c r="G2" s="8" t="s">
        <v>0</v>
      </c>
      <c r="H2" s="13">
        <v>60.0</v>
      </c>
      <c r="I2" s="14">
        <f>detail_avancement!B2</f>
        <v>60</v>
      </c>
      <c r="J2" s="15">
        <f t="shared" ref="J2:J103" si="1">MAX(0,H2-I2)</f>
        <v>0</v>
      </c>
      <c r="K2" s="16">
        <f t="shared" ref="K2:K103" si="2">I2/(I2+J2)</f>
        <v>1</v>
      </c>
      <c r="M2" s="17"/>
      <c r="N2" s="18"/>
      <c r="O2" s="19"/>
      <c r="P2" s="19"/>
      <c r="Q2" s="17"/>
      <c r="R2" s="20"/>
      <c r="S2" s="21"/>
      <c r="T2" s="21"/>
      <c r="U2" s="21"/>
    </row>
    <row r="3">
      <c r="A3" s="8">
        <v>2.0</v>
      </c>
      <c r="B3" s="9" t="s">
        <v>19</v>
      </c>
      <c r="C3" s="11" t="s">
        <v>20</v>
      </c>
      <c r="D3" s="11" t="s">
        <v>21</v>
      </c>
      <c r="E3" s="11" t="s">
        <v>24</v>
      </c>
      <c r="F3" s="11" t="s">
        <v>23</v>
      </c>
      <c r="G3" s="8" t="s">
        <v>0</v>
      </c>
      <c r="H3" s="13">
        <v>30.0</v>
      </c>
      <c r="I3" s="14">
        <f>detail_avancement!B3</f>
        <v>30</v>
      </c>
      <c r="J3" s="15">
        <f t="shared" si="1"/>
        <v>0</v>
      </c>
      <c r="K3" s="16">
        <f t="shared" si="2"/>
        <v>1</v>
      </c>
      <c r="M3" s="17"/>
      <c r="N3" s="19"/>
      <c r="O3" s="19"/>
      <c r="P3" s="19"/>
      <c r="Q3" s="17"/>
      <c r="R3" s="20"/>
      <c r="S3" s="21"/>
      <c r="T3" s="21"/>
      <c r="U3" s="21"/>
    </row>
    <row r="4">
      <c r="A4" s="8">
        <v>3.0</v>
      </c>
      <c r="B4" s="9" t="s">
        <v>19</v>
      </c>
      <c r="C4" s="12" t="s">
        <v>20</v>
      </c>
      <c r="D4" s="11" t="s">
        <v>21</v>
      </c>
      <c r="E4" s="11" t="s">
        <v>25</v>
      </c>
      <c r="F4" s="12" t="s">
        <v>26</v>
      </c>
      <c r="G4" s="8" t="s">
        <v>0</v>
      </c>
      <c r="H4" s="13">
        <v>20.0</v>
      </c>
      <c r="I4" s="14">
        <f>detail_avancement!B4</f>
        <v>20</v>
      </c>
      <c r="J4" s="15">
        <f t="shared" si="1"/>
        <v>0</v>
      </c>
      <c r="K4" s="16">
        <f t="shared" si="2"/>
        <v>1</v>
      </c>
      <c r="M4" s="17"/>
      <c r="N4" s="19"/>
      <c r="O4" s="19"/>
      <c r="P4" s="19"/>
      <c r="Q4" s="17"/>
      <c r="R4" s="20"/>
      <c r="S4" s="21"/>
      <c r="T4" s="21"/>
      <c r="U4" s="21"/>
    </row>
    <row r="5">
      <c r="A5" s="8">
        <v>4.0</v>
      </c>
      <c r="B5" s="9" t="s">
        <v>19</v>
      </c>
      <c r="C5" s="12" t="s">
        <v>20</v>
      </c>
      <c r="D5" s="11" t="s">
        <v>21</v>
      </c>
      <c r="E5" s="11" t="s">
        <v>27</v>
      </c>
      <c r="F5" s="12" t="s">
        <v>28</v>
      </c>
      <c r="G5" s="8" t="s">
        <v>6</v>
      </c>
      <c r="H5" s="13">
        <v>30.0</v>
      </c>
      <c r="I5" s="14">
        <f>detail_avancement!B5</f>
        <v>30</v>
      </c>
      <c r="J5" s="15">
        <f t="shared" si="1"/>
        <v>0</v>
      </c>
      <c r="K5" s="16">
        <f t="shared" si="2"/>
        <v>1</v>
      </c>
      <c r="M5" s="17"/>
      <c r="N5" s="19"/>
      <c r="O5" s="19"/>
      <c r="P5" s="19"/>
      <c r="Q5" s="17"/>
      <c r="R5" s="20"/>
      <c r="S5" s="21"/>
      <c r="T5" s="21"/>
      <c r="U5" s="21"/>
    </row>
    <row r="6">
      <c r="A6" s="8">
        <v>5.0</v>
      </c>
      <c r="B6" s="9" t="s">
        <v>29</v>
      </c>
      <c r="C6" s="11" t="s">
        <v>20</v>
      </c>
      <c r="D6" s="11" t="s">
        <v>30</v>
      </c>
      <c r="E6" s="11" t="s">
        <v>22</v>
      </c>
      <c r="F6" s="11" t="s">
        <v>23</v>
      </c>
      <c r="G6" s="8" t="s">
        <v>2</v>
      </c>
      <c r="H6" s="13">
        <v>30.0</v>
      </c>
      <c r="I6" s="14">
        <f>detail_avancement!B6</f>
        <v>30</v>
      </c>
      <c r="J6" s="15">
        <f t="shared" si="1"/>
        <v>0</v>
      </c>
      <c r="K6" s="16">
        <f t="shared" si="2"/>
        <v>1</v>
      </c>
      <c r="M6" s="17"/>
      <c r="N6" s="19"/>
      <c r="O6" s="19"/>
      <c r="P6" s="19"/>
      <c r="Q6" s="17"/>
      <c r="R6" s="20"/>
      <c r="S6" s="21"/>
      <c r="T6" s="21"/>
      <c r="U6" s="21"/>
    </row>
    <row r="7">
      <c r="A7" s="8">
        <v>6.0</v>
      </c>
      <c r="B7" s="9" t="s">
        <v>29</v>
      </c>
      <c r="C7" s="11" t="s">
        <v>20</v>
      </c>
      <c r="D7" s="11" t="s">
        <v>30</v>
      </c>
      <c r="E7" s="11" t="s">
        <v>25</v>
      </c>
      <c r="F7" s="11" t="s">
        <v>26</v>
      </c>
      <c r="G7" s="8" t="s">
        <v>0</v>
      </c>
      <c r="H7" s="13">
        <v>30.0</v>
      </c>
      <c r="I7" s="14">
        <f>detail_avancement!B7</f>
        <v>30</v>
      </c>
      <c r="J7" s="15">
        <f t="shared" si="1"/>
        <v>0</v>
      </c>
      <c r="K7" s="16">
        <f t="shared" si="2"/>
        <v>1</v>
      </c>
      <c r="M7" s="17"/>
      <c r="N7" s="19"/>
      <c r="O7" s="19"/>
      <c r="P7" s="19"/>
      <c r="Q7" s="17"/>
      <c r="R7" s="20"/>
      <c r="S7" s="21"/>
      <c r="T7" s="21"/>
      <c r="U7" s="21"/>
    </row>
    <row r="8">
      <c r="A8" s="8">
        <v>7.0</v>
      </c>
      <c r="B8" s="9" t="s">
        <v>29</v>
      </c>
      <c r="C8" s="12" t="s">
        <v>20</v>
      </c>
      <c r="D8" s="11" t="s">
        <v>30</v>
      </c>
      <c r="E8" s="11" t="s">
        <v>31</v>
      </c>
      <c r="F8" s="12" t="s">
        <v>28</v>
      </c>
      <c r="G8" s="8" t="s">
        <v>2</v>
      </c>
      <c r="H8" s="13">
        <v>45.0</v>
      </c>
      <c r="I8" s="14">
        <f>detail_avancement!B8</f>
        <v>45</v>
      </c>
      <c r="J8" s="15">
        <f t="shared" si="1"/>
        <v>0</v>
      </c>
      <c r="K8" s="16">
        <f t="shared" si="2"/>
        <v>1</v>
      </c>
      <c r="M8" s="17"/>
      <c r="N8" s="19"/>
      <c r="O8" s="19"/>
      <c r="P8" s="19"/>
      <c r="Q8" s="17"/>
      <c r="R8" s="20"/>
      <c r="S8" s="21"/>
      <c r="T8" s="21"/>
      <c r="U8" s="21"/>
    </row>
    <row r="9">
      <c r="A9" s="8">
        <v>8.0</v>
      </c>
      <c r="B9" s="9" t="s">
        <v>19</v>
      </c>
      <c r="C9" s="11" t="s">
        <v>32</v>
      </c>
      <c r="D9" s="11" t="s">
        <v>33</v>
      </c>
      <c r="E9" s="11" t="s">
        <v>34</v>
      </c>
      <c r="F9" s="11" t="s">
        <v>23</v>
      </c>
      <c r="G9" s="8" t="s">
        <v>0</v>
      </c>
      <c r="H9" s="13">
        <v>30.0</v>
      </c>
      <c r="I9" s="14">
        <f>detail_avancement!B9</f>
        <v>30</v>
      </c>
      <c r="J9" s="15">
        <f t="shared" si="1"/>
        <v>0</v>
      </c>
      <c r="K9" s="16">
        <f t="shared" si="2"/>
        <v>1</v>
      </c>
      <c r="M9" s="17"/>
      <c r="N9" s="19"/>
      <c r="O9" s="19"/>
      <c r="P9" s="19"/>
      <c r="Q9" s="17"/>
      <c r="R9" s="20"/>
      <c r="S9" s="21"/>
      <c r="T9" s="21"/>
      <c r="U9" s="21"/>
    </row>
    <row r="10">
      <c r="A10" s="8">
        <v>9.0</v>
      </c>
      <c r="B10" s="9" t="s">
        <v>19</v>
      </c>
      <c r="C10" s="11" t="s">
        <v>32</v>
      </c>
      <c r="D10" s="11" t="s">
        <v>33</v>
      </c>
      <c r="E10" s="11" t="s">
        <v>35</v>
      </c>
      <c r="F10" s="11" t="s">
        <v>26</v>
      </c>
      <c r="G10" s="8" t="s">
        <v>0</v>
      </c>
      <c r="H10" s="13">
        <v>30.0</v>
      </c>
      <c r="I10" s="14">
        <f>detail_avancement!B10</f>
        <v>30</v>
      </c>
      <c r="J10" s="15">
        <f t="shared" si="1"/>
        <v>0</v>
      </c>
      <c r="K10" s="16">
        <f t="shared" si="2"/>
        <v>1</v>
      </c>
      <c r="M10" s="17"/>
      <c r="N10" s="22"/>
      <c r="O10" s="22"/>
      <c r="P10" s="22"/>
      <c r="Q10" s="17"/>
      <c r="R10" s="20"/>
      <c r="S10" s="21"/>
      <c r="T10" s="21"/>
      <c r="U10" s="21"/>
    </row>
    <row r="11">
      <c r="A11" s="8">
        <v>10.0</v>
      </c>
      <c r="B11" s="9" t="s">
        <v>19</v>
      </c>
      <c r="C11" s="11" t="s">
        <v>32</v>
      </c>
      <c r="D11" s="11" t="s">
        <v>33</v>
      </c>
      <c r="E11" s="11" t="s">
        <v>35</v>
      </c>
      <c r="F11" s="11" t="s">
        <v>28</v>
      </c>
      <c r="G11" s="8" t="s">
        <v>6</v>
      </c>
      <c r="H11" s="13">
        <v>30.0</v>
      </c>
      <c r="I11" s="14">
        <f>detail_avancement!B11</f>
        <v>30</v>
      </c>
      <c r="J11" s="15">
        <f t="shared" si="1"/>
        <v>0</v>
      </c>
      <c r="K11" s="16">
        <f t="shared" si="2"/>
        <v>1</v>
      </c>
      <c r="M11" s="17"/>
      <c r="N11" s="22"/>
      <c r="O11" s="22"/>
      <c r="P11" s="19"/>
      <c r="Q11" s="17"/>
      <c r="R11" s="20"/>
      <c r="S11" s="21"/>
      <c r="T11" s="21"/>
      <c r="U11" s="21"/>
    </row>
    <row r="12">
      <c r="A12" s="8">
        <v>11.0</v>
      </c>
      <c r="B12" s="9" t="s">
        <v>19</v>
      </c>
      <c r="C12" s="12" t="s">
        <v>36</v>
      </c>
      <c r="D12" s="11" t="s">
        <v>37</v>
      </c>
      <c r="E12" s="12" t="s">
        <v>38</v>
      </c>
      <c r="F12" s="12" t="s">
        <v>23</v>
      </c>
      <c r="G12" s="8" t="s">
        <v>4</v>
      </c>
      <c r="H12" s="13">
        <v>35.0</v>
      </c>
      <c r="I12" s="14">
        <f>detail_avancement!B12</f>
        <v>35</v>
      </c>
      <c r="J12" s="15">
        <f t="shared" si="1"/>
        <v>0</v>
      </c>
      <c r="K12" s="16">
        <f t="shared" si="2"/>
        <v>1</v>
      </c>
      <c r="M12" s="17"/>
      <c r="N12" s="22"/>
      <c r="O12" s="22"/>
      <c r="P12" s="22"/>
      <c r="Q12" s="17"/>
      <c r="R12" s="20"/>
      <c r="S12" s="21"/>
      <c r="T12" s="21"/>
      <c r="U12" s="21"/>
    </row>
    <row r="13">
      <c r="A13" s="8">
        <v>12.0</v>
      </c>
      <c r="B13" s="9" t="s">
        <v>19</v>
      </c>
      <c r="C13" s="12" t="s">
        <v>36</v>
      </c>
      <c r="D13" s="22" t="s">
        <v>37</v>
      </c>
      <c r="E13" s="19" t="s">
        <v>38</v>
      </c>
      <c r="F13" s="12" t="s">
        <v>26</v>
      </c>
      <c r="G13" s="8" t="s">
        <v>4</v>
      </c>
      <c r="H13" s="13">
        <v>30.0</v>
      </c>
      <c r="I13" s="14">
        <f>detail_avancement!B13</f>
        <v>30</v>
      </c>
      <c r="J13" s="15">
        <f t="shared" si="1"/>
        <v>0</v>
      </c>
      <c r="K13" s="16">
        <f t="shared" si="2"/>
        <v>1</v>
      </c>
      <c r="M13" s="17"/>
      <c r="N13" s="22"/>
      <c r="O13" s="23"/>
      <c r="P13" s="22"/>
      <c r="Q13" s="17"/>
      <c r="R13" s="20"/>
      <c r="S13" s="21"/>
      <c r="T13" s="21"/>
      <c r="U13" s="21"/>
    </row>
    <row r="14">
      <c r="A14" s="8">
        <v>13.0</v>
      </c>
      <c r="B14" s="9" t="s">
        <v>19</v>
      </c>
      <c r="C14" s="12" t="s">
        <v>36</v>
      </c>
      <c r="D14" s="11" t="s">
        <v>37</v>
      </c>
      <c r="E14" s="12" t="s">
        <v>38</v>
      </c>
      <c r="F14" s="12" t="s">
        <v>28</v>
      </c>
      <c r="G14" s="8" t="s">
        <v>6</v>
      </c>
      <c r="H14" s="13">
        <v>20.0</v>
      </c>
      <c r="I14" s="14">
        <f>detail_avancement!B14</f>
        <v>20</v>
      </c>
      <c r="J14" s="15">
        <f t="shared" si="1"/>
        <v>0</v>
      </c>
      <c r="K14" s="16">
        <f t="shared" si="2"/>
        <v>1</v>
      </c>
      <c r="M14" s="17"/>
      <c r="N14" s="22"/>
      <c r="O14" s="22"/>
      <c r="P14" s="22"/>
      <c r="Q14" s="17"/>
      <c r="R14" s="20"/>
      <c r="S14" s="21"/>
      <c r="T14" s="21"/>
      <c r="U14" s="21"/>
    </row>
    <row r="15">
      <c r="A15" s="8">
        <v>14.0</v>
      </c>
      <c r="B15" s="9" t="s">
        <v>19</v>
      </c>
      <c r="C15" s="12" t="s">
        <v>36</v>
      </c>
      <c r="D15" s="11" t="s">
        <v>37</v>
      </c>
      <c r="E15" s="12" t="s">
        <v>39</v>
      </c>
      <c r="F15" s="12" t="s">
        <v>23</v>
      </c>
      <c r="G15" s="8" t="s">
        <v>0</v>
      </c>
      <c r="H15" s="13">
        <v>30.0</v>
      </c>
      <c r="I15" s="14">
        <f>detail_avancement!B15</f>
        <v>30</v>
      </c>
      <c r="J15" s="15">
        <f t="shared" si="1"/>
        <v>0</v>
      </c>
      <c r="K15" s="16">
        <f t="shared" si="2"/>
        <v>1</v>
      </c>
      <c r="M15" s="17"/>
      <c r="N15" s="19"/>
      <c r="O15" s="19"/>
      <c r="P15" s="19"/>
      <c r="Q15" s="17"/>
      <c r="R15" s="20"/>
      <c r="S15" s="21"/>
      <c r="T15" s="21"/>
      <c r="U15" s="21"/>
    </row>
    <row r="16">
      <c r="A16" s="8">
        <v>15.0</v>
      </c>
      <c r="B16" s="9" t="s">
        <v>19</v>
      </c>
      <c r="C16" s="12" t="s">
        <v>36</v>
      </c>
      <c r="D16" s="11" t="s">
        <v>37</v>
      </c>
      <c r="E16" s="12" t="s">
        <v>39</v>
      </c>
      <c r="F16" s="11" t="s">
        <v>28</v>
      </c>
      <c r="G16" s="8" t="s">
        <v>6</v>
      </c>
      <c r="H16" s="13">
        <v>30.0</v>
      </c>
      <c r="I16" s="14">
        <f>detail_avancement!B16</f>
        <v>30</v>
      </c>
      <c r="J16" s="15">
        <f t="shared" si="1"/>
        <v>0</v>
      </c>
      <c r="K16" s="16">
        <f t="shared" si="2"/>
        <v>1</v>
      </c>
      <c r="M16" s="17"/>
      <c r="N16" s="19"/>
      <c r="O16" s="19"/>
      <c r="P16" s="19"/>
      <c r="Q16" s="17"/>
      <c r="R16" s="20"/>
      <c r="S16" s="21"/>
      <c r="T16" s="21"/>
      <c r="U16" s="21"/>
    </row>
    <row r="17">
      <c r="A17" s="8">
        <v>16.0</v>
      </c>
      <c r="B17" s="9" t="s">
        <v>19</v>
      </c>
      <c r="C17" s="12" t="s">
        <v>36</v>
      </c>
      <c r="D17" s="11" t="s">
        <v>37</v>
      </c>
      <c r="E17" s="12" t="s">
        <v>39</v>
      </c>
      <c r="F17" s="12" t="s">
        <v>26</v>
      </c>
      <c r="G17" s="8" t="s">
        <v>0</v>
      </c>
      <c r="H17" s="13">
        <v>20.0</v>
      </c>
      <c r="I17" s="14">
        <f>detail_avancement!B17</f>
        <v>20</v>
      </c>
      <c r="J17" s="15">
        <f t="shared" si="1"/>
        <v>0</v>
      </c>
      <c r="K17" s="16">
        <f t="shared" si="2"/>
        <v>1</v>
      </c>
      <c r="M17" s="17"/>
      <c r="N17" s="19"/>
      <c r="O17" s="19"/>
      <c r="P17" s="19"/>
      <c r="Q17" s="17"/>
      <c r="R17" s="20"/>
      <c r="S17" s="21"/>
      <c r="T17" s="21"/>
      <c r="U17" s="21"/>
    </row>
    <row r="18">
      <c r="A18" s="8">
        <v>17.0</v>
      </c>
      <c r="B18" s="9" t="s">
        <v>19</v>
      </c>
      <c r="C18" s="12" t="s">
        <v>36</v>
      </c>
      <c r="D18" s="11" t="s">
        <v>40</v>
      </c>
      <c r="E18" s="12" t="s">
        <v>41</v>
      </c>
      <c r="F18" s="12" t="s">
        <v>23</v>
      </c>
      <c r="G18" s="8" t="s">
        <v>2</v>
      </c>
      <c r="H18" s="13">
        <v>20.0</v>
      </c>
      <c r="I18" s="14">
        <f>detail_avancement!B18</f>
        <v>20</v>
      </c>
      <c r="J18" s="15">
        <f t="shared" si="1"/>
        <v>0</v>
      </c>
      <c r="K18" s="16">
        <f t="shared" si="2"/>
        <v>1</v>
      </c>
      <c r="M18" s="17"/>
      <c r="N18" s="19"/>
      <c r="O18" s="19"/>
      <c r="P18" s="19"/>
      <c r="Q18" s="17"/>
      <c r="R18" s="20"/>
      <c r="S18" s="21"/>
      <c r="T18" s="21"/>
      <c r="U18" s="21"/>
    </row>
    <row r="19">
      <c r="A19" s="8">
        <v>18.0</v>
      </c>
      <c r="B19" s="9" t="s">
        <v>19</v>
      </c>
      <c r="C19" s="12" t="s">
        <v>36</v>
      </c>
      <c r="D19" s="11" t="s">
        <v>40</v>
      </c>
      <c r="E19" s="12" t="s">
        <v>41</v>
      </c>
      <c r="F19" s="12" t="s">
        <v>26</v>
      </c>
      <c r="G19" s="8" t="s">
        <v>2</v>
      </c>
      <c r="H19" s="13">
        <v>20.0</v>
      </c>
      <c r="I19" s="14">
        <f>detail_avancement!B19</f>
        <v>20</v>
      </c>
      <c r="J19" s="15">
        <f t="shared" si="1"/>
        <v>0</v>
      </c>
      <c r="K19" s="16">
        <f t="shared" si="2"/>
        <v>1</v>
      </c>
      <c r="M19" s="17"/>
      <c r="N19" s="19"/>
      <c r="O19" s="19"/>
      <c r="P19" s="19"/>
      <c r="Q19" s="17"/>
      <c r="R19" s="20"/>
      <c r="S19" s="21"/>
      <c r="T19" s="21"/>
      <c r="U19" s="21"/>
    </row>
    <row r="20">
      <c r="A20" s="8">
        <v>19.0</v>
      </c>
      <c r="B20" s="9" t="s">
        <v>19</v>
      </c>
      <c r="C20" s="12" t="s">
        <v>36</v>
      </c>
      <c r="D20" s="11" t="s">
        <v>40</v>
      </c>
      <c r="E20" s="12" t="s">
        <v>41</v>
      </c>
      <c r="F20" s="12" t="s">
        <v>28</v>
      </c>
      <c r="G20" s="8" t="s">
        <v>6</v>
      </c>
      <c r="H20" s="13">
        <v>30.0</v>
      </c>
      <c r="I20" s="14">
        <f>detail_avancement!B20</f>
        <v>30</v>
      </c>
      <c r="J20" s="15">
        <f t="shared" si="1"/>
        <v>0</v>
      </c>
      <c r="K20" s="16">
        <f t="shared" si="2"/>
        <v>1</v>
      </c>
      <c r="M20" s="17"/>
      <c r="N20" s="19"/>
      <c r="O20" s="19"/>
      <c r="P20" s="19"/>
      <c r="Q20" s="17"/>
      <c r="R20" s="20"/>
      <c r="S20" s="21"/>
      <c r="T20" s="21"/>
      <c r="U20" s="21"/>
    </row>
    <row r="21">
      <c r="A21" s="8">
        <v>20.0</v>
      </c>
      <c r="B21" s="9" t="s">
        <v>19</v>
      </c>
      <c r="C21" s="12" t="s">
        <v>36</v>
      </c>
      <c r="D21" s="11" t="s">
        <v>42</v>
      </c>
      <c r="E21" s="11" t="s">
        <v>43</v>
      </c>
      <c r="F21" s="12" t="s">
        <v>23</v>
      </c>
      <c r="G21" s="8" t="s">
        <v>2</v>
      </c>
      <c r="H21" s="13">
        <v>30.0</v>
      </c>
      <c r="I21" s="14">
        <f>detail_avancement!B21</f>
        <v>30</v>
      </c>
      <c r="J21" s="15">
        <f t="shared" si="1"/>
        <v>0</v>
      </c>
      <c r="K21" s="16">
        <f t="shared" si="2"/>
        <v>1</v>
      </c>
      <c r="M21" s="17"/>
      <c r="N21" s="19"/>
      <c r="O21" s="19"/>
      <c r="P21" s="19"/>
      <c r="Q21" s="17"/>
      <c r="R21" s="20"/>
      <c r="S21" s="21"/>
      <c r="T21" s="21"/>
      <c r="U21" s="21"/>
    </row>
    <row r="22">
      <c r="A22" s="8">
        <v>21.0</v>
      </c>
      <c r="B22" s="9" t="s">
        <v>19</v>
      </c>
      <c r="C22" s="11" t="s">
        <v>36</v>
      </c>
      <c r="D22" s="11" t="s">
        <v>42</v>
      </c>
      <c r="E22" s="11" t="s">
        <v>44</v>
      </c>
      <c r="F22" s="11" t="s">
        <v>23</v>
      </c>
      <c r="G22" s="8" t="s">
        <v>0</v>
      </c>
      <c r="H22" s="13">
        <v>10.0</v>
      </c>
      <c r="I22" s="14">
        <f>detail_avancement!B22</f>
        <v>10</v>
      </c>
      <c r="J22" s="15">
        <f t="shared" si="1"/>
        <v>0</v>
      </c>
      <c r="K22" s="16">
        <f t="shared" si="2"/>
        <v>1</v>
      </c>
      <c r="M22" s="17"/>
      <c r="N22" s="19"/>
      <c r="O22" s="19"/>
      <c r="P22" s="19"/>
      <c r="Q22" s="17"/>
      <c r="R22" s="20"/>
      <c r="S22" s="21"/>
      <c r="T22" s="21"/>
      <c r="U22" s="21"/>
    </row>
    <row r="23">
      <c r="A23" s="8">
        <v>22.0</v>
      </c>
      <c r="B23" s="9" t="s">
        <v>19</v>
      </c>
      <c r="C23" s="12" t="s">
        <v>36</v>
      </c>
      <c r="D23" s="11" t="s">
        <v>42</v>
      </c>
      <c r="E23" s="11" t="s">
        <v>45</v>
      </c>
      <c r="F23" s="12" t="s">
        <v>26</v>
      </c>
      <c r="G23" s="8" t="s">
        <v>2</v>
      </c>
      <c r="H23" s="13">
        <v>20.0</v>
      </c>
      <c r="I23" s="14">
        <f>detail_avancement!B23</f>
        <v>30</v>
      </c>
      <c r="J23" s="15">
        <f t="shared" si="1"/>
        <v>0</v>
      </c>
      <c r="K23" s="16">
        <f t="shared" si="2"/>
        <v>1</v>
      </c>
      <c r="M23" s="17"/>
      <c r="N23" s="19"/>
      <c r="O23" s="19"/>
      <c r="P23" s="19"/>
      <c r="Q23" s="17"/>
      <c r="R23" s="20"/>
      <c r="S23" s="21"/>
      <c r="T23" s="21"/>
      <c r="U23" s="21"/>
    </row>
    <row r="24">
      <c r="A24" s="8">
        <v>23.0</v>
      </c>
      <c r="B24" s="9" t="s">
        <v>19</v>
      </c>
      <c r="C24" s="12" t="s">
        <v>36</v>
      </c>
      <c r="D24" s="11" t="s">
        <v>42</v>
      </c>
      <c r="E24" s="11" t="s">
        <v>46</v>
      </c>
      <c r="F24" s="12" t="s">
        <v>28</v>
      </c>
      <c r="G24" s="8" t="s">
        <v>2</v>
      </c>
      <c r="H24" s="13">
        <v>30.0</v>
      </c>
      <c r="I24" s="14">
        <f>detail_avancement!B24</f>
        <v>30</v>
      </c>
      <c r="J24" s="15">
        <f t="shared" si="1"/>
        <v>0</v>
      </c>
      <c r="K24" s="16">
        <f t="shared" si="2"/>
        <v>1</v>
      </c>
      <c r="M24" s="17"/>
      <c r="N24" s="19"/>
      <c r="O24" s="19"/>
      <c r="P24" s="19"/>
      <c r="Q24" s="17"/>
      <c r="R24" s="20"/>
      <c r="S24" s="21"/>
      <c r="T24" s="21"/>
      <c r="U24" s="21"/>
    </row>
    <row r="25">
      <c r="A25" s="8">
        <v>24.0</v>
      </c>
      <c r="B25" s="9" t="s">
        <v>19</v>
      </c>
      <c r="C25" s="11" t="s">
        <v>47</v>
      </c>
      <c r="D25" s="11" t="s">
        <v>48</v>
      </c>
      <c r="E25" s="11" t="s">
        <v>38</v>
      </c>
      <c r="F25" s="11" t="s">
        <v>28</v>
      </c>
      <c r="G25" s="8" t="s">
        <v>0</v>
      </c>
      <c r="H25" s="13">
        <v>20.0</v>
      </c>
      <c r="I25" s="14">
        <f>detail_avancement!B25</f>
        <v>25</v>
      </c>
      <c r="J25" s="15">
        <f t="shared" si="1"/>
        <v>0</v>
      </c>
      <c r="K25" s="16">
        <f t="shared" si="2"/>
        <v>1</v>
      </c>
      <c r="M25" s="17"/>
      <c r="N25" s="19"/>
      <c r="O25" s="19"/>
      <c r="P25" s="19"/>
      <c r="Q25" s="17"/>
      <c r="R25" s="20"/>
      <c r="S25" s="21"/>
      <c r="T25" s="21"/>
      <c r="U25" s="21"/>
    </row>
    <row r="26">
      <c r="A26" s="8">
        <v>25.0</v>
      </c>
      <c r="B26" s="9" t="s">
        <v>19</v>
      </c>
      <c r="C26" s="11" t="s">
        <v>47</v>
      </c>
      <c r="D26" s="11" t="s">
        <v>49</v>
      </c>
      <c r="E26" s="11" t="s">
        <v>38</v>
      </c>
      <c r="F26" s="11" t="s">
        <v>26</v>
      </c>
      <c r="G26" s="8" t="s">
        <v>0</v>
      </c>
      <c r="H26" s="13">
        <v>40.0</v>
      </c>
      <c r="I26" s="14">
        <f>detail_avancement!B26</f>
        <v>40</v>
      </c>
      <c r="J26" s="15">
        <f t="shared" si="1"/>
        <v>0</v>
      </c>
      <c r="K26" s="16">
        <f t="shared" si="2"/>
        <v>1</v>
      </c>
      <c r="M26" s="17"/>
      <c r="N26" s="19"/>
      <c r="O26" s="19"/>
      <c r="P26" s="19"/>
      <c r="Q26" s="17"/>
      <c r="R26" s="20"/>
      <c r="S26" s="21"/>
      <c r="T26" s="21"/>
      <c r="U26" s="21"/>
    </row>
    <row r="27">
      <c r="A27" s="8">
        <v>26.0</v>
      </c>
      <c r="B27" s="9" t="s">
        <v>19</v>
      </c>
      <c r="C27" s="11" t="s">
        <v>47</v>
      </c>
      <c r="D27" s="11" t="s">
        <v>48</v>
      </c>
      <c r="E27" s="11" t="s">
        <v>38</v>
      </c>
      <c r="F27" s="11" t="s">
        <v>23</v>
      </c>
      <c r="G27" s="8" t="s">
        <v>0</v>
      </c>
      <c r="H27" s="13">
        <v>10.0</v>
      </c>
      <c r="I27" s="14">
        <f>detail_avancement!B27</f>
        <v>20</v>
      </c>
      <c r="J27" s="15">
        <f t="shared" si="1"/>
        <v>0</v>
      </c>
      <c r="K27" s="16">
        <f t="shared" si="2"/>
        <v>1</v>
      </c>
      <c r="M27" s="17"/>
      <c r="N27" s="19"/>
      <c r="O27" s="19"/>
      <c r="P27" s="19"/>
      <c r="Q27" s="17"/>
      <c r="R27" s="20"/>
      <c r="S27" s="21"/>
      <c r="T27" s="21"/>
      <c r="U27" s="21"/>
    </row>
    <row r="28">
      <c r="A28" s="8">
        <v>27.0</v>
      </c>
      <c r="B28" s="9" t="s">
        <v>19</v>
      </c>
      <c r="C28" s="11" t="s">
        <v>47</v>
      </c>
      <c r="D28" s="11" t="s">
        <v>48</v>
      </c>
      <c r="E28" s="11" t="s">
        <v>50</v>
      </c>
      <c r="F28" s="11" t="s">
        <v>23</v>
      </c>
      <c r="G28" s="8" t="s">
        <v>6</v>
      </c>
      <c r="H28" s="13">
        <v>20.0</v>
      </c>
      <c r="I28" s="14">
        <f>detail_avancement!B28</f>
        <v>20</v>
      </c>
      <c r="J28" s="15">
        <f t="shared" si="1"/>
        <v>0</v>
      </c>
      <c r="K28" s="16">
        <f t="shared" si="2"/>
        <v>1</v>
      </c>
      <c r="M28" s="17"/>
      <c r="N28" s="19"/>
      <c r="O28" s="19"/>
      <c r="P28" s="19"/>
      <c r="Q28" s="17"/>
      <c r="R28" s="20"/>
      <c r="S28" s="21"/>
      <c r="T28" s="21"/>
      <c r="U28" s="21"/>
    </row>
    <row r="29">
      <c r="A29" s="8">
        <v>28.0</v>
      </c>
      <c r="B29" s="9" t="s">
        <v>19</v>
      </c>
      <c r="C29" s="11" t="s">
        <v>47</v>
      </c>
      <c r="D29" s="11" t="s">
        <v>48</v>
      </c>
      <c r="E29" s="11" t="s">
        <v>50</v>
      </c>
      <c r="F29" s="11" t="s">
        <v>28</v>
      </c>
      <c r="G29" s="8" t="s">
        <v>2</v>
      </c>
      <c r="H29" s="13">
        <v>40.0</v>
      </c>
      <c r="I29" s="14">
        <f>detail_avancement!B29</f>
        <v>40</v>
      </c>
      <c r="J29" s="15">
        <f t="shared" si="1"/>
        <v>0</v>
      </c>
      <c r="K29" s="16">
        <f t="shared" si="2"/>
        <v>1</v>
      </c>
      <c r="M29" s="17"/>
      <c r="N29" s="19"/>
      <c r="O29" s="19"/>
      <c r="P29" s="19"/>
      <c r="Q29" s="17"/>
      <c r="R29" s="20"/>
      <c r="S29" s="21"/>
      <c r="T29" s="21"/>
      <c r="U29" s="21"/>
    </row>
    <row r="30">
      <c r="A30" s="8">
        <v>29.0</v>
      </c>
      <c r="B30" s="9" t="s">
        <v>19</v>
      </c>
      <c r="C30" s="11" t="s">
        <v>47</v>
      </c>
      <c r="D30" s="11" t="s">
        <v>48</v>
      </c>
      <c r="E30" s="11" t="s">
        <v>50</v>
      </c>
      <c r="F30" s="11" t="s">
        <v>26</v>
      </c>
      <c r="G30" s="8" t="s">
        <v>2</v>
      </c>
      <c r="H30" s="13">
        <v>20.0</v>
      </c>
      <c r="I30" s="14">
        <f>detail_avancement!B30</f>
        <v>20</v>
      </c>
      <c r="J30" s="15">
        <f t="shared" si="1"/>
        <v>0</v>
      </c>
      <c r="K30" s="16">
        <f t="shared" si="2"/>
        <v>1</v>
      </c>
      <c r="M30" s="17"/>
      <c r="N30" s="19"/>
      <c r="O30" s="19"/>
      <c r="P30" s="19"/>
      <c r="Q30" s="17"/>
      <c r="R30" s="20"/>
      <c r="S30" s="21"/>
      <c r="T30" s="21"/>
      <c r="U30" s="21"/>
    </row>
    <row r="31">
      <c r="A31" s="8">
        <v>30.0</v>
      </c>
      <c r="B31" s="9" t="s">
        <v>19</v>
      </c>
      <c r="C31" s="11" t="s">
        <v>51</v>
      </c>
      <c r="D31" s="11" t="s">
        <v>52</v>
      </c>
      <c r="E31" s="11" t="s">
        <v>41</v>
      </c>
      <c r="F31" s="11" t="s">
        <v>23</v>
      </c>
      <c r="G31" s="8" t="s">
        <v>4</v>
      </c>
      <c r="H31" s="13">
        <v>30.0</v>
      </c>
      <c r="I31" s="14">
        <f>detail_avancement!B31</f>
        <v>60</v>
      </c>
      <c r="J31" s="15">
        <f t="shared" si="1"/>
        <v>0</v>
      </c>
      <c r="K31" s="16">
        <f t="shared" si="2"/>
        <v>1</v>
      </c>
      <c r="M31" s="17"/>
      <c r="N31" s="19"/>
      <c r="O31" s="19"/>
      <c r="P31" s="19"/>
      <c r="Q31" s="17"/>
      <c r="R31" s="20"/>
      <c r="S31" s="21"/>
      <c r="T31" s="21"/>
      <c r="U31" s="21"/>
    </row>
    <row r="32">
      <c r="A32" s="8">
        <v>31.0</v>
      </c>
      <c r="B32" s="9" t="s">
        <v>19</v>
      </c>
      <c r="C32" s="11" t="s">
        <v>53</v>
      </c>
      <c r="D32" s="11" t="s">
        <v>52</v>
      </c>
      <c r="E32" s="11" t="s">
        <v>41</v>
      </c>
      <c r="F32" s="11" t="s">
        <v>28</v>
      </c>
      <c r="G32" s="8" t="s">
        <v>6</v>
      </c>
      <c r="H32" s="13">
        <v>20.0</v>
      </c>
      <c r="I32" s="14">
        <f>detail_avancement!B32</f>
        <v>20</v>
      </c>
      <c r="J32" s="15">
        <f t="shared" si="1"/>
        <v>0</v>
      </c>
      <c r="K32" s="16">
        <f t="shared" si="2"/>
        <v>1</v>
      </c>
      <c r="M32" s="17"/>
      <c r="N32" s="19"/>
      <c r="O32" s="19"/>
      <c r="P32" s="19"/>
      <c r="Q32" s="17"/>
      <c r="R32" s="20"/>
      <c r="S32" s="21"/>
      <c r="T32" s="21"/>
      <c r="U32" s="21"/>
    </row>
    <row r="33">
      <c r="A33" s="8">
        <v>32.0</v>
      </c>
      <c r="B33" s="9" t="s">
        <v>19</v>
      </c>
      <c r="C33" s="11" t="s">
        <v>53</v>
      </c>
      <c r="D33" s="11" t="s">
        <v>52</v>
      </c>
      <c r="E33" s="11" t="s">
        <v>41</v>
      </c>
      <c r="F33" s="11" t="s">
        <v>26</v>
      </c>
      <c r="G33" s="8" t="s">
        <v>6</v>
      </c>
      <c r="H33" s="13">
        <v>40.0</v>
      </c>
      <c r="I33" s="14">
        <f>detail_avancement!B33</f>
        <v>40</v>
      </c>
      <c r="J33" s="15">
        <f t="shared" si="1"/>
        <v>0</v>
      </c>
      <c r="K33" s="16">
        <f t="shared" si="2"/>
        <v>1</v>
      </c>
      <c r="M33" s="17"/>
      <c r="N33" s="19"/>
      <c r="O33" s="19"/>
      <c r="P33" s="19"/>
      <c r="Q33" s="17"/>
      <c r="R33" s="20"/>
      <c r="S33" s="21"/>
      <c r="T33" s="21"/>
      <c r="U33" s="21"/>
    </row>
    <row r="34" ht="13.5" customHeight="1">
      <c r="A34" s="8">
        <v>33.0</v>
      </c>
      <c r="B34" s="9" t="s">
        <v>19</v>
      </c>
      <c r="C34" s="11" t="s">
        <v>54</v>
      </c>
      <c r="D34" s="11" t="s">
        <v>55</v>
      </c>
      <c r="E34" s="11" t="s">
        <v>38</v>
      </c>
      <c r="F34" s="11" t="s">
        <v>23</v>
      </c>
      <c r="G34" s="8" t="s">
        <v>4</v>
      </c>
      <c r="H34" s="13">
        <v>45.0</v>
      </c>
      <c r="I34" s="14">
        <f>detail_avancement!B34</f>
        <v>45</v>
      </c>
      <c r="J34" s="15">
        <f t="shared" si="1"/>
        <v>0</v>
      </c>
      <c r="K34" s="16">
        <f t="shared" si="2"/>
        <v>1</v>
      </c>
      <c r="M34" s="17"/>
      <c r="N34" s="19"/>
      <c r="O34" s="19"/>
      <c r="P34" s="19"/>
      <c r="Q34" s="17"/>
      <c r="R34" s="20"/>
      <c r="S34" s="21"/>
      <c r="T34" s="21"/>
      <c r="U34" s="21"/>
    </row>
    <row r="35" ht="13.5" customHeight="1">
      <c r="A35" s="8">
        <v>34.0</v>
      </c>
      <c r="B35" s="9" t="s">
        <v>19</v>
      </c>
      <c r="C35" s="11" t="s">
        <v>54</v>
      </c>
      <c r="D35" s="11" t="s">
        <v>55</v>
      </c>
      <c r="E35" s="11" t="s">
        <v>38</v>
      </c>
      <c r="F35" s="11" t="s">
        <v>26</v>
      </c>
      <c r="G35" s="8" t="s">
        <v>4</v>
      </c>
      <c r="H35" s="13">
        <v>30.0</v>
      </c>
      <c r="I35" s="14">
        <f>detail_avancement!B35</f>
        <v>30</v>
      </c>
      <c r="J35" s="15">
        <f t="shared" si="1"/>
        <v>0</v>
      </c>
      <c r="K35" s="16">
        <f t="shared" si="2"/>
        <v>1</v>
      </c>
      <c r="M35" s="17"/>
      <c r="N35" s="19"/>
      <c r="O35" s="19"/>
      <c r="P35" s="19"/>
      <c r="Q35" s="17"/>
      <c r="R35" s="20"/>
      <c r="S35" s="21"/>
      <c r="T35" s="21"/>
      <c r="U35" s="21"/>
    </row>
    <row r="36">
      <c r="A36" s="8">
        <v>35.0</v>
      </c>
      <c r="B36" s="9" t="s">
        <v>19</v>
      </c>
      <c r="C36" s="11" t="s">
        <v>54</v>
      </c>
      <c r="D36" s="11" t="s">
        <v>55</v>
      </c>
      <c r="E36" s="11" t="s">
        <v>38</v>
      </c>
      <c r="F36" s="11" t="s">
        <v>28</v>
      </c>
      <c r="G36" s="8" t="s">
        <v>0</v>
      </c>
      <c r="H36" s="13">
        <v>20.0</v>
      </c>
      <c r="I36" s="14">
        <f>detail_avancement!B36</f>
        <v>20</v>
      </c>
      <c r="J36" s="15">
        <f t="shared" si="1"/>
        <v>0</v>
      </c>
      <c r="K36" s="16">
        <f t="shared" si="2"/>
        <v>1</v>
      </c>
      <c r="M36" s="17"/>
      <c r="N36" s="19"/>
      <c r="O36" s="19"/>
      <c r="P36" s="19"/>
      <c r="Q36" s="17"/>
      <c r="R36" s="20"/>
      <c r="S36" s="21"/>
      <c r="T36" s="21"/>
      <c r="U36" s="21"/>
    </row>
    <row r="37">
      <c r="A37" s="8">
        <v>36.0</v>
      </c>
      <c r="B37" s="9" t="s">
        <v>29</v>
      </c>
      <c r="C37" s="11" t="s">
        <v>56</v>
      </c>
      <c r="D37" s="11" t="s">
        <v>55</v>
      </c>
      <c r="E37" s="11" t="s">
        <v>38</v>
      </c>
      <c r="F37" s="11" t="s">
        <v>26</v>
      </c>
      <c r="G37" s="8" t="s">
        <v>0</v>
      </c>
      <c r="H37" s="13">
        <v>20.0</v>
      </c>
      <c r="I37" s="14">
        <f>detail_avancement!B37</f>
        <v>20</v>
      </c>
      <c r="J37" s="15">
        <f t="shared" si="1"/>
        <v>0</v>
      </c>
      <c r="K37" s="16">
        <f t="shared" si="2"/>
        <v>1</v>
      </c>
      <c r="M37" s="17"/>
      <c r="N37" s="19"/>
      <c r="O37" s="19"/>
      <c r="P37" s="19"/>
      <c r="Q37" s="17"/>
      <c r="R37" s="20"/>
      <c r="S37" s="21"/>
      <c r="T37" s="21"/>
      <c r="U37" s="21"/>
    </row>
    <row r="38">
      <c r="A38" s="8">
        <v>37.0</v>
      </c>
      <c r="B38" s="9" t="s">
        <v>29</v>
      </c>
      <c r="C38" s="11" t="s">
        <v>56</v>
      </c>
      <c r="D38" s="11" t="s">
        <v>55</v>
      </c>
      <c r="E38" s="11" t="s">
        <v>38</v>
      </c>
      <c r="F38" s="11" t="s">
        <v>28</v>
      </c>
      <c r="G38" s="8" t="s">
        <v>0</v>
      </c>
      <c r="H38" s="13">
        <v>20.0</v>
      </c>
      <c r="I38" s="14">
        <f>detail_avancement!B38</f>
        <v>20</v>
      </c>
      <c r="J38" s="15">
        <f t="shared" si="1"/>
        <v>0</v>
      </c>
      <c r="K38" s="16">
        <f t="shared" si="2"/>
        <v>1</v>
      </c>
      <c r="M38" s="17"/>
      <c r="N38" s="19"/>
      <c r="O38" s="19"/>
      <c r="P38" s="19"/>
      <c r="Q38" s="17"/>
      <c r="R38" s="20"/>
      <c r="S38" s="21"/>
      <c r="T38" s="21"/>
      <c r="U38" s="21"/>
    </row>
    <row r="39">
      <c r="A39" s="8">
        <v>38.0</v>
      </c>
      <c r="B39" s="9" t="s">
        <v>29</v>
      </c>
      <c r="C39" s="11" t="s">
        <v>57</v>
      </c>
      <c r="D39" s="11" t="s">
        <v>55</v>
      </c>
      <c r="E39" s="11" t="s">
        <v>38</v>
      </c>
      <c r="F39" s="11" t="s">
        <v>26</v>
      </c>
      <c r="G39" s="8" t="s">
        <v>4</v>
      </c>
      <c r="H39" s="13">
        <v>40.0</v>
      </c>
      <c r="I39" s="14">
        <f>detail_avancement!B39</f>
        <v>40</v>
      </c>
      <c r="J39" s="15">
        <f t="shared" si="1"/>
        <v>0</v>
      </c>
      <c r="K39" s="16">
        <f t="shared" si="2"/>
        <v>1</v>
      </c>
      <c r="M39" s="17"/>
      <c r="N39" s="19"/>
      <c r="O39" s="19"/>
      <c r="P39" s="19"/>
      <c r="Q39" s="17"/>
      <c r="R39" s="20"/>
      <c r="S39" s="21"/>
      <c r="T39" s="21"/>
      <c r="U39" s="21"/>
    </row>
    <row r="40">
      <c r="A40" s="8">
        <v>39.0</v>
      </c>
      <c r="B40" s="9" t="s">
        <v>29</v>
      </c>
      <c r="C40" s="11" t="s">
        <v>57</v>
      </c>
      <c r="D40" s="11" t="s">
        <v>55</v>
      </c>
      <c r="E40" s="11" t="s">
        <v>38</v>
      </c>
      <c r="F40" s="11" t="s">
        <v>28</v>
      </c>
      <c r="G40" s="8" t="s">
        <v>2</v>
      </c>
      <c r="H40" s="13">
        <v>30.0</v>
      </c>
      <c r="I40" s="14">
        <f>detail_avancement!B40</f>
        <v>30</v>
      </c>
      <c r="J40" s="15">
        <f t="shared" si="1"/>
        <v>0</v>
      </c>
      <c r="K40" s="16">
        <f t="shared" si="2"/>
        <v>1</v>
      </c>
      <c r="M40" s="17"/>
      <c r="N40" s="19"/>
      <c r="O40" s="19"/>
      <c r="P40" s="19"/>
      <c r="Q40" s="17"/>
      <c r="R40" s="20"/>
      <c r="S40" s="21"/>
      <c r="T40" s="21"/>
      <c r="U40" s="21"/>
    </row>
    <row r="41">
      <c r="A41" s="8">
        <v>40.0</v>
      </c>
      <c r="B41" s="9" t="s">
        <v>29</v>
      </c>
      <c r="C41" s="11" t="s">
        <v>47</v>
      </c>
      <c r="D41" s="11" t="s">
        <v>58</v>
      </c>
      <c r="E41" s="11" t="s">
        <v>45</v>
      </c>
      <c r="F41" s="11" t="s">
        <v>28</v>
      </c>
      <c r="G41" s="8" t="s">
        <v>0</v>
      </c>
      <c r="H41" s="13">
        <v>30.0</v>
      </c>
      <c r="I41" s="14">
        <f>detail_avancement!B41</f>
        <v>30</v>
      </c>
      <c r="J41" s="15">
        <f t="shared" si="1"/>
        <v>0</v>
      </c>
      <c r="K41" s="16">
        <f t="shared" si="2"/>
        <v>1</v>
      </c>
      <c r="M41" s="17"/>
      <c r="N41" s="19"/>
      <c r="O41" s="19"/>
      <c r="P41" s="19"/>
      <c r="Q41" s="17"/>
      <c r="R41" s="20"/>
      <c r="S41" s="21"/>
      <c r="T41" s="21"/>
      <c r="U41" s="21"/>
    </row>
    <row r="42">
      <c r="A42" s="8">
        <v>41.0</v>
      </c>
      <c r="B42" s="9" t="s">
        <v>29</v>
      </c>
      <c r="C42" s="11" t="s">
        <v>47</v>
      </c>
      <c r="D42" s="11" t="s">
        <v>58</v>
      </c>
      <c r="E42" s="11" t="s">
        <v>45</v>
      </c>
      <c r="F42" s="11" t="s">
        <v>23</v>
      </c>
      <c r="G42" s="8" t="s">
        <v>0</v>
      </c>
      <c r="H42" s="13">
        <v>30.0</v>
      </c>
      <c r="I42" s="14">
        <f>detail_avancement!B42</f>
        <v>30</v>
      </c>
      <c r="J42" s="15">
        <f t="shared" si="1"/>
        <v>0</v>
      </c>
      <c r="K42" s="16">
        <f t="shared" si="2"/>
        <v>1</v>
      </c>
      <c r="M42" s="17"/>
      <c r="N42" s="19"/>
      <c r="O42" s="19"/>
      <c r="P42" s="19"/>
      <c r="Q42" s="17"/>
      <c r="R42" s="20"/>
      <c r="S42" s="21"/>
      <c r="T42" s="21"/>
      <c r="U42" s="21"/>
    </row>
    <row r="43">
      <c r="A43" s="8">
        <v>42.0</v>
      </c>
      <c r="B43" s="9" t="s">
        <v>29</v>
      </c>
      <c r="C43" s="11" t="s">
        <v>47</v>
      </c>
      <c r="D43" s="11" t="s">
        <v>58</v>
      </c>
      <c r="E43" s="11" t="s">
        <v>45</v>
      </c>
      <c r="F43" s="11" t="s">
        <v>26</v>
      </c>
      <c r="G43" s="8" t="s">
        <v>0</v>
      </c>
      <c r="H43" s="13">
        <v>60.0</v>
      </c>
      <c r="I43" s="14">
        <f>detail_avancement!B43</f>
        <v>60</v>
      </c>
      <c r="J43" s="15">
        <f t="shared" si="1"/>
        <v>0</v>
      </c>
      <c r="K43" s="16">
        <f t="shared" si="2"/>
        <v>1</v>
      </c>
      <c r="M43" s="17"/>
      <c r="N43" s="19"/>
      <c r="O43" s="19"/>
      <c r="P43" s="19"/>
      <c r="Q43" s="17"/>
      <c r="R43" s="20"/>
      <c r="S43" s="21"/>
      <c r="T43" s="21"/>
      <c r="U43" s="21"/>
    </row>
    <row r="44">
      <c r="A44" s="8">
        <v>43.0</v>
      </c>
      <c r="B44" s="9" t="s">
        <v>29</v>
      </c>
      <c r="C44" s="12" t="s">
        <v>47</v>
      </c>
      <c r="D44" s="11" t="s">
        <v>55</v>
      </c>
      <c r="E44" s="12" t="s">
        <v>59</v>
      </c>
      <c r="F44" s="12" t="s">
        <v>23</v>
      </c>
      <c r="G44" s="8" t="s">
        <v>4</v>
      </c>
      <c r="H44" s="13">
        <v>20.0</v>
      </c>
      <c r="I44" s="14">
        <f>detail_avancement!B44</f>
        <v>20</v>
      </c>
      <c r="J44" s="15">
        <f t="shared" si="1"/>
        <v>0</v>
      </c>
      <c r="K44" s="16">
        <f t="shared" si="2"/>
        <v>1</v>
      </c>
      <c r="M44" s="17"/>
      <c r="N44" s="19"/>
      <c r="O44" s="19"/>
      <c r="P44" s="19"/>
      <c r="Q44" s="17"/>
      <c r="R44" s="20"/>
      <c r="S44" s="21"/>
      <c r="T44" s="21"/>
      <c r="U44" s="21"/>
    </row>
    <row r="45">
      <c r="A45" s="8">
        <v>44.0</v>
      </c>
      <c r="B45" s="9" t="s">
        <v>29</v>
      </c>
      <c r="C45" s="12" t="s">
        <v>47</v>
      </c>
      <c r="D45" s="11" t="s">
        <v>55</v>
      </c>
      <c r="E45" s="12" t="s">
        <v>59</v>
      </c>
      <c r="F45" s="11" t="s">
        <v>28</v>
      </c>
      <c r="G45" s="8" t="s">
        <v>6</v>
      </c>
      <c r="H45" s="13">
        <v>40.0</v>
      </c>
      <c r="I45" s="14">
        <f>detail_avancement!B45</f>
        <v>40</v>
      </c>
      <c r="J45" s="15">
        <f t="shared" si="1"/>
        <v>0</v>
      </c>
      <c r="K45" s="16">
        <f t="shared" si="2"/>
        <v>1</v>
      </c>
      <c r="M45" s="17"/>
      <c r="N45" s="19"/>
      <c r="O45" s="19"/>
      <c r="P45" s="19"/>
      <c r="Q45" s="17"/>
      <c r="R45" s="20"/>
      <c r="S45" s="21"/>
      <c r="T45" s="21"/>
      <c r="U45" s="21"/>
    </row>
    <row r="46">
      <c r="A46" s="8">
        <v>45.0</v>
      </c>
      <c r="B46" s="9" t="s">
        <v>29</v>
      </c>
      <c r="C46" s="12" t="s">
        <v>47</v>
      </c>
      <c r="D46" s="11" t="s">
        <v>55</v>
      </c>
      <c r="E46" s="12" t="s">
        <v>59</v>
      </c>
      <c r="F46" s="12" t="s">
        <v>26</v>
      </c>
      <c r="G46" s="8" t="s">
        <v>4</v>
      </c>
      <c r="H46" s="13">
        <v>30.0</v>
      </c>
      <c r="I46" s="14">
        <f>detail_avancement!B46</f>
        <v>30</v>
      </c>
      <c r="J46" s="15">
        <f t="shared" si="1"/>
        <v>0</v>
      </c>
      <c r="K46" s="16">
        <f t="shared" si="2"/>
        <v>1</v>
      </c>
      <c r="M46" s="17"/>
      <c r="N46" s="19"/>
      <c r="O46" s="19"/>
      <c r="P46" s="19"/>
      <c r="Q46" s="17"/>
      <c r="R46" s="20"/>
      <c r="S46" s="21"/>
      <c r="T46" s="21"/>
      <c r="U46" s="21"/>
    </row>
    <row r="47">
      <c r="A47" s="8">
        <v>46.0</v>
      </c>
      <c r="B47" s="9" t="s">
        <v>19</v>
      </c>
      <c r="C47" s="11" t="s">
        <v>60</v>
      </c>
      <c r="D47" s="11" t="s">
        <v>61</v>
      </c>
      <c r="E47" s="11" t="s">
        <v>62</v>
      </c>
      <c r="F47" s="11" t="s">
        <v>23</v>
      </c>
      <c r="G47" s="8" t="s">
        <v>2</v>
      </c>
      <c r="H47" s="13">
        <v>30.0</v>
      </c>
      <c r="I47" s="14">
        <f>detail_avancement!B47</f>
        <v>60</v>
      </c>
      <c r="J47" s="15">
        <f t="shared" si="1"/>
        <v>0</v>
      </c>
      <c r="K47" s="16">
        <f t="shared" si="2"/>
        <v>1</v>
      </c>
      <c r="M47" s="17"/>
      <c r="N47" s="19"/>
      <c r="O47" s="19"/>
      <c r="P47" s="19"/>
      <c r="Q47" s="17"/>
      <c r="R47" s="20"/>
      <c r="S47" s="21"/>
      <c r="T47" s="21"/>
      <c r="U47" s="21"/>
    </row>
    <row r="48">
      <c r="A48" s="8">
        <v>47.0</v>
      </c>
      <c r="B48" s="9" t="s">
        <v>19</v>
      </c>
      <c r="C48" s="11" t="s">
        <v>60</v>
      </c>
      <c r="D48" s="24" t="s">
        <v>61</v>
      </c>
      <c r="E48" s="24" t="s">
        <v>63</v>
      </c>
      <c r="F48" s="11" t="s">
        <v>23</v>
      </c>
      <c r="G48" s="8" t="s">
        <v>4</v>
      </c>
      <c r="H48" s="13">
        <v>30.0</v>
      </c>
      <c r="I48" s="14">
        <f>detail_avancement!B48</f>
        <v>60</v>
      </c>
      <c r="J48" s="15">
        <f t="shared" si="1"/>
        <v>0</v>
      </c>
      <c r="K48" s="16">
        <f t="shared" si="2"/>
        <v>1</v>
      </c>
      <c r="M48" s="17"/>
      <c r="N48" s="19"/>
      <c r="O48" s="19"/>
      <c r="P48" s="19"/>
      <c r="Q48" s="17"/>
      <c r="R48" s="20"/>
      <c r="S48" s="21"/>
      <c r="T48" s="21"/>
      <c r="U48" s="21"/>
    </row>
    <row r="49">
      <c r="A49" s="8">
        <v>48.0</v>
      </c>
      <c r="B49" s="9" t="s">
        <v>19</v>
      </c>
      <c r="C49" s="11" t="s">
        <v>60</v>
      </c>
      <c r="D49" s="11" t="s">
        <v>61</v>
      </c>
      <c r="E49" s="11" t="s">
        <v>63</v>
      </c>
      <c r="F49" s="11" t="s">
        <v>26</v>
      </c>
      <c r="G49" s="8" t="s">
        <v>4</v>
      </c>
      <c r="H49" s="13">
        <v>30.0</v>
      </c>
      <c r="I49" s="14">
        <f>detail_avancement!B49</f>
        <v>60</v>
      </c>
      <c r="J49" s="15">
        <f t="shared" si="1"/>
        <v>0</v>
      </c>
      <c r="K49" s="16">
        <f t="shared" si="2"/>
        <v>1</v>
      </c>
      <c r="M49" s="17"/>
      <c r="N49" s="19"/>
      <c r="O49" s="19"/>
      <c r="P49" s="19"/>
      <c r="Q49" s="17"/>
      <c r="R49" s="20"/>
      <c r="S49" s="21"/>
      <c r="T49" s="21"/>
      <c r="U49" s="21"/>
    </row>
    <row r="50">
      <c r="A50" s="8">
        <v>49.0</v>
      </c>
      <c r="B50" s="9" t="s">
        <v>64</v>
      </c>
      <c r="C50" s="11" t="s">
        <v>65</v>
      </c>
      <c r="D50" s="11"/>
      <c r="E50" s="11" t="s">
        <v>66</v>
      </c>
      <c r="F50" s="11"/>
      <c r="G50" s="8" t="s">
        <v>4</v>
      </c>
      <c r="H50" s="13">
        <v>30.0</v>
      </c>
      <c r="I50" s="14">
        <f>detail_avancement!B50</f>
        <v>30</v>
      </c>
      <c r="J50" s="15">
        <f t="shared" si="1"/>
        <v>0</v>
      </c>
      <c r="K50" s="16">
        <f t="shared" si="2"/>
        <v>1</v>
      </c>
      <c r="M50" s="17"/>
      <c r="N50" s="19"/>
      <c r="O50" s="19"/>
      <c r="P50" s="19"/>
      <c r="Q50" s="17"/>
      <c r="R50" s="20"/>
      <c r="S50" s="21"/>
      <c r="T50" s="21"/>
      <c r="U50" s="21"/>
    </row>
    <row r="51">
      <c r="A51" s="8">
        <v>50.0</v>
      </c>
      <c r="B51" s="9" t="s">
        <v>64</v>
      </c>
      <c r="C51" s="11" t="s">
        <v>65</v>
      </c>
      <c r="D51" s="11"/>
      <c r="E51" s="11" t="s">
        <v>67</v>
      </c>
      <c r="F51" s="11"/>
      <c r="G51" s="8" t="s">
        <v>4</v>
      </c>
      <c r="H51" s="13">
        <v>30.0</v>
      </c>
      <c r="I51" s="14">
        <f>detail_avancement!B51</f>
        <v>30</v>
      </c>
      <c r="J51" s="15">
        <f t="shared" si="1"/>
        <v>0</v>
      </c>
      <c r="K51" s="16">
        <f t="shared" si="2"/>
        <v>1</v>
      </c>
      <c r="M51" s="17"/>
      <c r="N51" s="19"/>
      <c r="O51" s="19"/>
      <c r="P51" s="19"/>
      <c r="Q51" s="17"/>
      <c r="R51" s="20"/>
      <c r="S51" s="21"/>
      <c r="T51" s="21"/>
      <c r="U51" s="21"/>
    </row>
    <row r="52">
      <c r="A52" s="8">
        <v>51.0</v>
      </c>
      <c r="B52" s="9" t="s">
        <v>64</v>
      </c>
      <c r="C52" s="11" t="s">
        <v>65</v>
      </c>
      <c r="D52" s="11"/>
      <c r="E52" s="11" t="s">
        <v>68</v>
      </c>
      <c r="F52" s="11"/>
      <c r="G52" s="8" t="s">
        <v>4</v>
      </c>
      <c r="H52" s="13">
        <v>30.0</v>
      </c>
      <c r="I52" s="14">
        <f>detail_avancement!B52</f>
        <v>30</v>
      </c>
      <c r="J52" s="15">
        <f t="shared" si="1"/>
        <v>0</v>
      </c>
      <c r="K52" s="16">
        <f t="shared" si="2"/>
        <v>1</v>
      </c>
      <c r="M52" s="17"/>
      <c r="N52" s="19"/>
      <c r="O52" s="19"/>
      <c r="P52" s="19"/>
      <c r="Q52" s="17"/>
      <c r="R52" s="20"/>
      <c r="S52" s="21"/>
      <c r="T52" s="21"/>
      <c r="U52" s="21"/>
    </row>
    <row r="53">
      <c r="A53" s="8">
        <v>52.0</v>
      </c>
      <c r="B53" s="9" t="s">
        <v>29</v>
      </c>
      <c r="C53" s="11" t="s">
        <v>69</v>
      </c>
      <c r="D53" s="11" t="s">
        <v>70</v>
      </c>
      <c r="E53" s="11" t="s">
        <v>71</v>
      </c>
      <c r="F53" s="12" t="s">
        <v>23</v>
      </c>
      <c r="G53" s="8" t="s">
        <v>2</v>
      </c>
      <c r="H53" s="13">
        <v>60.0</v>
      </c>
      <c r="I53" s="14">
        <f>detail_avancement!B53</f>
        <v>60</v>
      </c>
      <c r="J53" s="15">
        <f t="shared" si="1"/>
        <v>0</v>
      </c>
      <c r="K53" s="16">
        <f t="shared" si="2"/>
        <v>1</v>
      </c>
    </row>
    <row r="54">
      <c r="A54" s="8">
        <v>53.0</v>
      </c>
      <c r="B54" s="9" t="s">
        <v>29</v>
      </c>
      <c r="C54" s="11" t="s">
        <v>69</v>
      </c>
      <c r="D54" s="11" t="s">
        <v>70</v>
      </c>
      <c r="E54" s="11" t="s">
        <v>35</v>
      </c>
      <c r="F54" s="12" t="s">
        <v>26</v>
      </c>
      <c r="G54" s="8" t="s">
        <v>6</v>
      </c>
      <c r="H54" s="13">
        <v>60.0</v>
      </c>
      <c r="I54" s="14">
        <f>detail_avancement!B54</f>
        <v>60</v>
      </c>
      <c r="J54" s="15">
        <f t="shared" si="1"/>
        <v>0</v>
      </c>
      <c r="K54" s="16">
        <f t="shared" si="2"/>
        <v>1</v>
      </c>
    </row>
    <row r="55">
      <c r="A55" s="8">
        <v>54.0</v>
      </c>
      <c r="B55" s="9" t="s">
        <v>29</v>
      </c>
      <c r="C55" s="11" t="s">
        <v>72</v>
      </c>
      <c r="D55" s="11" t="s">
        <v>70</v>
      </c>
      <c r="E55" s="11" t="s">
        <v>31</v>
      </c>
      <c r="F55" s="12" t="s">
        <v>28</v>
      </c>
      <c r="G55" s="8" t="s">
        <v>2</v>
      </c>
      <c r="H55" s="13">
        <v>60.0</v>
      </c>
      <c r="I55" s="14">
        <f>detail_avancement!B55</f>
        <v>60</v>
      </c>
      <c r="J55" s="15">
        <f t="shared" si="1"/>
        <v>0</v>
      </c>
      <c r="K55" s="16">
        <f t="shared" si="2"/>
        <v>1</v>
      </c>
    </row>
    <row r="56">
      <c r="A56" s="8">
        <v>55.0</v>
      </c>
      <c r="B56" s="9" t="s">
        <v>19</v>
      </c>
      <c r="C56" s="11" t="s">
        <v>60</v>
      </c>
      <c r="D56" s="11" t="s">
        <v>61</v>
      </c>
      <c r="E56" s="11" t="s">
        <v>35</v>
      </c>
      <c r="F56" s="12" t="s">
        <v>28</v>
      </c>
      <c r="G56" s="8" t="s">
        <v>2</v>
      </c>
      <c r="H56" s="13">
        <v>30.0</v>
      </c>
      <c r="I56" s="14">
        <f>detail_avancement!B56</f>
        <v>30</v>
      </c>
      <c r="J56" s="15">
        <f t="shared" si="1"/>
        <v>0</v>
      </c>
      <c r="K56" s="16">
        <f t="shared" si="2"/>
        <v>1</v>
      </c>
    </row>
    <row r="57">
      <c r="A57" s="8">
        <v>56.0</v>
      </c>
      <c r="B57" s="9" t="s">
        <v>19</v>
      </c>
      <c r="C57" s="11" t="s">
        <v>60</v>
      </c>
      <c r="D57" s="11" t="s">
        <v>61</v>
      </c>
      <c r="E57" s="11" t="s">
        <v>73</v>
      </c>
      <c r="F57" s="11" t="s">
        <v>26</v>
      </c>
      <c r="G57" s="8" t="s">
        <v>2</v>
      </c>
      <c r="H57" s="13">
        <v>60.0</v>
      </c>
      <c r="I57" s="14">
        <f>detail_avancement!B57</f>
        <v>60</v>
      </c>
      <c r="J57" s="15">
        <f t="shared" si="1"/>
        <v>0</v>
      </c>
      <c r="K57" s="16">
        <f t="shared" si="2"/>
        <v>1</v>
      </c>
      <c r="M57" s="17"/>
      <c r="N57" s="19"/>
      <c r="O57" s="19"/>
      <c r="P57" s="19"/>
      <c r="Q57" s="17"/>
      <c r="R57" s="20"/>
      <c r="S57" s="21"/>
      <c r="T57" s="21"/>
      <c r="U57" s="21"/>
    </row>
    <row r="58">
      <c r="A58" s="8">
        <v>57.0</v>
      </c>
      <c r="B58" s="9" t="s">
        <v>19</v>
      </c>
      <c r="C58" s="11" t="s">
        <v>74</v>
      </c>
      <c r="D58" s="11" t="s">
        <v>75</v>
      </c>
      <c r="E58" s="11" t="s">
        <v>41</v>
      </c>
      <c r="F58" s="12" t="s">
        <v>28</v>
      </c>
      <c r="G58" s="8" t="s">
        <v>2</v>
      </c>
      <c r="H58" s="13">
        <v>20.0</v>
      </c>
      <c r="I58" s="14">
        <f>detail_avancement!B58</f>
        <v>60</v>
      </c>
      <c r="J58" s="15">
        <f t="shared" si="1"/>
        <v>0</v>
      </c>
      <c r="K58" s="16">
        <f t="shared" si="2"/>
        <v>1</v>
      </c>
      <c r="M58" s="17"/>
      <c r="N58" s="19"/>
      <c r="O58" s="19"/>
      <c r="P58" s="19"/>
      <c r="Q58" s="17"/>
      <c r="R58" s="20"/>
      <c r="S58" s="21"/>
      <c r="T58" s="21"/>
      <c r="U58" s="21"/>
    </row>
    <row r="59">
      <c r="A59" s="8">
        <v>58.0</v>
      </c>
      <c r="B59" s="9" t="s">
        <v>19</v>
      </c>
      <c r="C59" s="11" t="s">
        <v>74</v>
      </c>
      <c r="D59" s="11" t="s">
        <v>75</v>
      </c>
      <c r="E59" s="12" t="s">
        <v>41</v>
      </c>
      <c r="F59" s="11" t="s">
        <v>26</v>
      </c>
      <c r="G59" s="8" t="s">
        <v>0</v>
      </c>
      <c r="H59" s="13">
        <v>30.0</v>
      </c>
      <c r="I59" s="14">
        <f>detail_avancement!B59</f>
        <v>60</v>
      </c>
      <c r="J59" s="15">
        <f t="shared" si="1"/>
        <v>0</v>
      </c>
      <c r="K59" s="16">
        <f t="shared" si="2"/>
        <v>1</v>
      </c>
      <c r="M59" s="17"/>
      <c r="N59" s="19"/>
      <c r="O59" s="19"/>
      <c r="P59" s="19"/>
      <c r="Q59" s="17"/>
      <c r="R59" s="20"/>
      <c r="S59" s="21"/>
      <c r="T59" s="21"/>
      <c r="U59" s="21"/>
    </row>
    <row r="60">
      <c r="A60" s="8">
        <v>59.0</v>
      </c>
      <c r="B60" s="9" t="s">
        <v>19</v>
      </c>
      <c r="C60" s="11" t="s">
        <v>74</v>
      </c>
      <c r="D60" s="11" t="s">
        <v>75</v>
      </c>
      <c r="E60" s="12" t="s">
        <v>41</v>
      </c>
      <c r="F60" s="11" t="s">
        <v>23</v>
      </c>
      <c r="G60" s="8" t="s">
        <v>0</v>
      </c>
      <c r="H60" s="13">
        <v>40.0</v>
      </c>
      <c r="I60" s="14">
        <f>detail_avancement!B60</f>
        <v>60</v>
      </c>
      <c r="J60" s="15">
        <f t="shared" si="1"/>
        <v>0</v>
      </c>
      <c r="K60" s="16">
        <f t="shared" si="2"/>
        <v>1</v>
      </c>
      <c r="M60" s="17"/>
      <c r="N60" s="19"/>
      <c r="O60" s="19"/>
      <c r="P60" s="19"/>
      <c r="Q60" s="17"/>
      <c r="R60" s="20"/>
      <c r="S60" s="21"/>
      <c r="T60" s="21"/>
      <c r="U60" s="21"/>
    </row>
    <row r="61">
      <c r="A61" s="8">
        <v>60.0</v>
      </c>
      <c r="B61" s="9" t="s">
        <v>19</v>
      </c>
      <c r="C61" s="11" t="s">
        <v>76</v>
      </c>
      <c r="D61" s="11" t="s">
        <v>77</v>
      </c>
      <c r="E61" s="11" t="s">
        <v>61</v>
      </c>
      <c r="F61" s="11" t="s">
        <v>23</v>
      </c>
      <c r="G61" s="8" t="s">
        <v>2</v>
      </c>
      <c r="H61" s="13">
        <v>30.0</v>
      </c>
      <c r="I61" s="14">
        <f>detail_avancement!B61</f>
        <v>60</v>
      </c>
      <c r="J61" s="15">
        <f t="shared" si="1"/>
        <v>0</v>
      </c>
      <c r="K61" s="16">
        <f t="shared" si="2"/>
        <v>1</v>
      </c>
      <c r="M61" s="17"/>
      <c r="N61" s="19"/>
      <c r="O61" s="19"/>
      <c r="P61" s="19"/>
      <c r="Q61" s="17"/>
      <c r="R61" s="20"/>
      <c r="S61" s="21"/>
      <c r="T61" s="21"/>
      <c r="U61" s="21"/>
    </row>
    <row r="62">
      <c r="A62" s="8">
        <v>61.0</v>
      </c>
      <c r="B62" s="9" t="s">
        <v>19</v>
      </c>
      <c r="C62" s="11" t="s">
        <v>78</v>
      </c>
      <c r="D62" s="11" t="s">
        <v>79</v>
      </c>
      <c r="E62" s="11" t="s">
        <v>80</v>
      </c>
      <c r="F62" s="11" t="s">
        <v>23</v>
      </c>
      <c r="G62" s="8" t="s">
        <v>4</v>
      </c>
      <c r="H62" s="13">
        <v>30.0</v>
      </c>
      <c r="I62" s="14">
        <f>detail_avancement!B62</f>
        <v>60</v>
      </c>
      <c r="J62" s="15">
        <f t="shared" si="1"/>
        <v>0</v>
      </c>
      <c r="K62" s="16">
        <f t="shared" si="2"/>
        <v>1</v>
      </c>
    </row>
    <row r="63">
      <c r="A63" s="8">
        <v>62.0</v>
      </c>
      <c r="B63" s="9" t="s">
        <v>19</v>
      </c>
      <c r="C63" s="11" t="s">
        <v>78</v>
      </c>
      <c r="D63" s="11" t="s">
        <v>79</v>
      </c>
      <c r="E63" s="11" t="s">
        <v>81</v>
      </c>
      <c r="F63" s="11" t="s">
        <v>23</v>
      </c>
      <c r="G63" s="8" t="s">
        <v>2</v>
      </c>
      <c r="H63" s="13">
        <v>30.0</v>
      </c>
      <c r="I63" s="14">
        <f>detail_avancement!B63</f>
        <v>60</v>
      </c>
      <c r="J63" s="15">
        <f t="shared" si="1"/>
        <v>0</v>
      </c>
      <c r="K63" s="16">
        <f t="shared" si="2"/>
        <v>1</v>
      </c>
    </row>
    <row r="64">
      <c r="A64" s="8">
        <v>63.0</v>
      </c>
      <c r="B64" s="9" t="s">
        <v>19</v>
      </c>
      <c r="C64" s="11" t="s">
        <v>82</v>
      </c>
      <c r="D64" s="11" t="s">
        <v>83</v>
      </c>
      <c r="E64" s="11" t="s">
        <v>84</v>
      </c>
      <c r="F64" s="11" t="s">
        <v>85</v>
      </c>
      <c r="G64" s="8" t="s">
        <v>6</v>
      </c>
      <c r="H64" s="13">
        <v>40.0</v>
      </c>
      <c r="I64" s="14">
        <f>detail_avancement!B64</f>
        <v>40</v>
      </c>
      <c r="J64" s="15">
        <f t="shared" si="1"/>
        <v>0</v>
      </c>
      <c r="K64" s="16">
        <f t="shared" si="2"/>
        <v>1</v>
      </c>
    </row>
    <row r="65">
      <c r="A65" s="8">
        <v>64.0</v>
      </c>
      <c r="B65" s="9" t="s">
        <v>19</v>
      </c>
      <c r="C65" s="11" t="s">
        <v>82</v>
      </c>
      <c r="D65" s="11" t="s">
        <v>83</v>
      </c>
      <c r="E65" s="11" t="s">
        <v>86</v>
      </c>
      <c r="F65" s="11" t="s">
        <v>23</v>
      </c>
      <c r="G65" s="8" t="s">
        <v>4</v>
      </c>
      <c r="H65" s="13">
        <v>20.0</v>
      </c>
      <c r="I65" s="14">
        <f>detail_avancement!B65</f>
        <v>20</v>
      </c>
      <c r="J65" s="15">
        <f t="shared" si="1"/>
        <v>0</v>
      </c>
      <c r="K65" s="16">
        <f t="shared" si="2"/>
        <v>1</v>
      </c>
    </row>
    <row r="66">
      <c r="A66" s="8">
        <v>65.0</v>
      </c>
      <c r="B66" s="9" t="s">
        <v>19</v>
      </c>
      <c r="C66" s="11" t="s">
        <v>87</v>
      </c>
      <c r="D66" s="11" t="s">
        <v>88</v>
      </c>
      <c r="E66" s="11" t="s">
        <v>89</v>
      </c>
      <c r="F66" s="11" t="s">
        <v>23</v>
      </c>
      <c r="G66" s="8" t="s">
        <v>0</v>
      </c>
      <c r="H66" s="13">
        <v>40.0</v>
      </c>
      <c r="I66" s="14">
        <f>detail_avancement!B66</f>
        <v>40</v>
      </c>
      <c r="J66" s="15">
        <f t="shared" si="1"/>
        <v>0</v>
      </c>
      <c r="K66" s="16">
        <f t="shared" si="2"/>
        <v>1</v>
      </c>
    </row>
    <row r="67">
      <c r="A67" s="8">
        <v>66.0</v>
      </c>
      <c r="B67" s="9" t="s">
        <v>19</v>
      </c>
      <c r="C67" s="11" t="s">
        <v>60</v>
      </c>
      <c r="D67" s="11" t="s">
        <v>90</v>
      </c>
      <c r="E67" s="11" t="s">
        <v>91</v>
      </c>
      <c r="F67" s="11" t="s">
        <v>23</v>
      </c>
      <c r="G67" s="8" t="s">
        <v>6</v>
      </c>
      <c r="H67" s="13">
        <v>30.0</v>
      </c>
      <c r="I67" s="14">
        <f>detail_avancement!B67</f>
        <v>30</v>
      </c>
      <c r="J67" s="15">
        <f t="shared" si="1"/>
        <v>0</v>
      </c>
      <c r="K67" s="16">
        <f t="shared" si="2"/>
        <v>1</v>
      </c>
    </row>
    <row r="68">
      <c r="A68" s="8">
        <v>67.0</v>
      </c>
      <c r="B68" s="9" t="s">
        <v>19</v>
      </c>
      <c r="C68" s="11" t="s">
        <v>60</v>
      </c>
      <c r="D68" s="11" t="s">
        <v>90</v>
      </c>
      <c r="E68" s="11" t="s">
        <v>92</v>
      </c>
      <c r="F68" s="11" t="s">
        <v>26</v>
      </c>
      <c r="G68" s="8" t="s">
        <v>6</v>
      </c>
      <c r="H68" s="13">
        <v>30.0</v>
      </c>
      <c r="I68" s="14">
        <f>detail_avancement!B68</f>
        <v>60</v>
      </c>
      <c r="J68" s="15">
        <f t="shared" si="1"/>
        <v>0</v>
      </c>
      <c r="K68" s="16">
        <f t="shared" si="2"/>
        <v>1</v>
      </c>
    </row>
    <row r="69">
      <c r="A69" s="8">
        <v>68.0</v>
      </c>
      <c r="B69" s="9" t="s">
        <v>19</v>
      </c>
      <c r="C69" s="11" t="s">
        <v>60</v>
      </c>
      <c r="D69" s="11" t="s">
        <v>93</v>
      </c>
      <c r="E69" s="11" t="s">
        <v>94</v>
      </c>
      <c r="F69" s="11" t="s">
        <v>23</v>
      </c>
      <c r="G69" s="8" t="s">
        <v>0</v>
      </c>
      <c r="H69" s="13">
        <v>30.0</v>
      </c>
      <c r="I69" s="14">
        <f>detail_avancement!B69</f>
        <v>60</v>
      </c>
      <c r="J69" s="15">
        <f t="shared" si="1"/>
        <v>0</v>
      </c>
      <c r="K69" s="16">
        <f t="shared" si="2"/>
        <v>1</v>
      </c>
    </row>
    <row r="70">
      <c r="A70" s="8">
        <v>69.0</v>
      </c>
      <c r="B70" s="9" t="s">
        <v>19</v>
      </c>
      <c r="C70" s="11" t="s">
        <v>60</v>
      </c>
      <c r="D70" s="11" t="s">
        <v>95</v>
      </c>
      <c r="E70" s="11" t="s">
        <v>96</v>
      </c>
      <c r="F70" s="11" t="s">
        <v>23</v>
      </c>
      <c r="G70" s="8" t="s">
        <v>2</v>
      </c>
      <c r="H70" s="13">
        <v>60.0</v>
      </c>
      <c r="I70" s="14">
        <f>detail_avancement!B70</f>
        <v>60</v>
      </c>
      <c r="J70" s="15">
        <f t="shared" si="1"/>
        <v>0</v>
      </c>
      <c r="K70" s="16">
        <f t="shared" si="2"/>
        <v>1</v>
      </c>
    </row>
    <row r="71">
      <c r="A71" s="8">
        <v>70.0</v>
      </c>
      <c r="B71" s="9" t="s">
        <v>19</v>
      </c>
      <c r="C71" s="11" t="s">
        <v>60</v>
      </c>
      <c r="D71" s="11" t="s">
        <v>95</v>
      </c>
      <c r="E71" s="11" t="s">
        <v>97</v>
      </c>
      <c r="F71" s="11" t="s">
        <v>23</v>
      </c>
      <c r="G71" s="8" t="s">
        <v>6</v>
      </c>
      <c r="H71" s="13">
        <v>30.0</v>
      </c>
      <c r="I71" s="14">
        <f>detail_avancement!B71</f>
        <v>60</v>
      </c>
      <c r="J71" s="15">
        <f t="shared" si="1"/>
        <v>0</v>
      </c>
      <c r="K71" s="16">
        <f t="shared" si="2"/>
        <v>1</v>
      </c>
    </row>
    <row r="72">
      <c r="A72" s="8">
        <v>71.0</v>
      </c>
      <c r="B72" s="9" t="s">
        <v>19</v>
      </c>
      <c r="C72" s="11" t="s">
        <v>60</v>
      </c>
      <c r="D72" s="11" t="s">
        <v>95</v>
      </c>
      <c r="E72" s="11" t="s">
        <v>98</v>
      </c>
      <c r="F72" s="11" t="s">
        <v>23</v>
      </c>
      <c r="G72" s="8" t="s">
        <v>6</v>
      </c>
      <c r="H72" s="13">
        <v>30.0</v>
      </c>
      <c r="I72" s="14">
        <f>detail_avancement!B72</f>
        <v>60</v>
      </c>
      <c r="J72" s="15">
        <f t="shared" si="1"/>
        <v>0</v>
      </c>
      <c r="K72" s="16">
        <f t="shared" si="2"/>
        <v>1</v>
      </c>
    </row>
    <row r="73">
      <c r="A73" s="8">
        <v>72.0</v>
      </c>
      <c r="B73" s="9" t="s">
        <v>19</v>
      </c>
      <c r="C73" s="11" t="s">
        <v>60</v>
      </c>
      <c r="D73" s="11" t="s">
        <v>95</v>
      </c>
      <c r="E73" s="11" t="s">
        <v>99</v>
      </c>
      <c r="F73" s="11" t="s">
        <v>23</v>
      </c>
      <c r="G73" s="8" t="s">
        <v>6</v>
      </c>
      <c r="H73" s="13">
        <v>30.0</v>
      </c>
      <c r="I73" s="14">
        <f>detail_avancement!B73</f>
        <v>60</v>
      </c>
      <c r="J73" s="15">
        <f t="shared" si="1"/>
        <v>0</v>
      </c>
      <c r="K73" s="16">
        <f t="shared" si="2"/>
        <v>1</v>
      </c>
    </row>
    <row r="74">
      <c r="A74" s="8">
        <v>73.0</v>
      </c>
      <c r="B74" s="9" t="s">
        <v>19</v>
      </c>
      <c r="C74" s="11" t="s">
        <v>60</v>
      </c>
      <c r="D74" s="11" t="s">
        <v>95</v>
      </c>
      <c r="E74" s="11" t="s">
        <v>100</v>
      </c>
      <c r="F74" s="11" t="s">
        <v>26</v>
      </c>
      <c r="G74" s="8" t="s">
        <v>6</v>
      </c>
      <c r="H74" s="13">
        <v>60.0</v>
      </c>
      <c r="I74" s="14">
        <f>detail_avancement!B74</f>
        <v>60</v>
      </c>
      <c r="J74" s="15">
        <f t="shared" si="1"/>
        <v>0</v>
      </c>
      <c r="K74" s="16">
        <f t="shared" si="2"/>
        <v>1</v>
      </c>
    </row>
    <row r="75">
      <c r="A75" s="8">
        <v>74.0</v>
      </c>
      <c r="B75" s="9" t="s">
        <v>19</v>
      </c>
      <c r="C75" s="11" t="s">
        <v>60</v>
      </c>
      <c r="D75" s="11" t="s">
        <v>95</v>
      </c>
      <c r="E75" s="11" t="s">
        <v>98</v>
      </c>
      <c r="F75" s="11" t="s">
        <v>23</v>
      </c>
      <c r="G75" s="8" t="s">
        <v>6</v>
      </c>
      <c r="H75" s="13">
        <v>60.0</v>
      </c>
      <c r="I75" s="14">
        <f>detail_avancement!B75</f>
        <v>60</v>
      </c>
      <c r="J75" s="15">
        <f t="shared" si="1"/>
        <v>0</v>
      </c>
      <c r="K75" s="16">
        <f t="shared" si="2"/>
        <v>1</v>
      </c>
    </row>
    <row r="76">
      <c r="A76" s="8">
        <v>75.0</v>
      </c>
      <c r="B76" s="9" t="s">
        <v>19</v>
      </c>
      <c r="C76" s="11" t="s">
        <v>60</v>
      </c>
      <c r="D76" s="11" t="s">
        <v>95</v>
      </c>
      <c r="E76" s="11" t="s">
        <v>99</v>
      </c>
      <c r="F76" s="11" t="s">
        <v>23</v>
      </c>
      <c r="G76" s="8" t="s">
        <v>2</v>
      </c>
      <c r="H76" s="13">
        <v>30.0</v>
      </c>
      <c r="I76" s="14">
        <f>detail_avancement!B76</f>
        <v>60</v>
      </c>
      <c r="J76" s="15">
        <f t="shared" si="1"/>
        <v>0</v>
      </c>
      <c r="K76" s="16">
        <f t="shared" si="2"/>
        <v>1</v>
      </c>
    </row>
    <row r="77">
      <c r="A77" s="8">
        <v>76.0</v>
      </c>
      <c r="B77" s="9" t="s">
        <v>19</v>
      </c>
      <c r="C77" s="11" t="s">
        <v>47</v>
      </c>
      <c r="D77" s="11" t="s">
        <v>101</v>
      </c>
      <c r="E77" s="11" t="s">
        <v>102</v>
      </c>
      <c r="F77" s="11" t="s">
        <v>23</v>
      </c>
      <c r="G77" s="8" t="s">
        <v>0</v>
      </c>
      <c r="H77" s="13">
        <v>30.0</v>
      </c>
      <c r="I77" s="14">
        <f>detail_avancement!B77</f>
        <v>60</v>
      </c>
      <c r="J77" s="15">
        <f t="shared" si="1"/>
        <v>0</v>
      </c>
      <c r="K77" s="16">
        <f t="shared" si="2"/>
        <v>1</v>
      </c>
    </row>
    <row r="78">
      <c r="A78" s="8">
        <v>77.0</v>
      </c>
      <c r="B78" s="9" t="s">
        <v>19</v>
      </c>
      <c r="C78" s="11" t="s">
        <v>103</v>
      </c>
      <c r="D78" s="11"/>
      <c r="E78" s="11"/>
      <c r="F78" s="11" t="s">
        <v>61</v>
      </c>
      <c r="G78" s="8" t="s">
        <v>4</v>
      </c>
      <c r="H78" s="13">
        <v>60.0</v>
      </c>
      <c r="I78" s="14">
        <f>detail_avancement!B78</f>
        <v>60</v>
      </c>
      <c r="J78" s="15">
        <f t="shared" si="1"/>
        <v>0</v>
      </c>
      <c r="K78" s="16">
        <f t="shared" si="2"/>
        <v>1</v>
      </c>
    </row>
    <row r="79">
      <c r="A79" s="8">
        <v>78.0</v>
      </c>
      <c r="B79" s="9" t="s">
        <v>19</v>
      </c>
      <c r="C79" s="11" t="s">
        <v>47</v>
      </c>
      <c r="D79" s="11" t="s">
        <v>104</v>
      </c>
      <c r="E79" s="11" t="s">
        <v>105</v>
      </c>
      <c r="F79" s="11" t="s">
        <v>106</v>
      </c>
      <c r="G79" s="8" t="s">
        <v>4</v>
      </c>
      <c r="H79" s="13">
        <v>60.0</v>
      </c>
      <c r="I79" s="14">
        <f>detail_avancement!B79</f>
        <v>60</v>
      </c>
      <c r="J79" s="15">
        <f t="shared" si="1"/>
        <v>0</v>
      </c>
      <c r="K79" s="16">
        <f t="shared" si="2"/>
        <v>1</v>
      </c>
    </row>
    <row r="80">
      <c r="A80" s="8">
        <v>79.0</v>
      </c>
      <c r="B80" s="9" t="s">
        <v>19</v>
      </c>
      <c r="C80" s="11" t="s">
        <v>103</v>
      </c>
      <c r="D80" s="11" t="s">
        <v>104</v>
      </c>
      <c r="E80" s="11" t="s">
        <v>107</v>
      </c>
      <c r="F80" s="11" t="s">
        <v>85</v>
      </c>
      <c r="G80" s="8" t="s">
        <v>0</v>
      </c>
      <c r="H80" s="13">
        <v>30.0</v>
      </c>
      <c r="I80" s="14">
        <f>detail_avancement!B80</f>
        <v>30</v>
      </c>
      <c r="J80" s="15">
        <f t="shared" si="1"/>
        <v>0</v>
      </c>
      <c r="K80" s="16">
        <f t="shared" si="2"/>
        <v>1</v>
      </c>
    </row>
    <row r="81">
      <c r="A81" s="8">
        <v>80.0</v>
      </c>
      <c r="B81" s="9" t="s">
        <v>19</v>
      </c>
      <c r="C81" s="11" t="s">
        <v>108</v>
      </c>
      <c r="D81" s="11" t="s">
        <v>61</v>
      </c>
      <c r="E81" s="11" t="s">
        <v>109</v>
      </c>
      <c r="F81" s="11" t="s">
        <v>110</v>
      </c>
      <c r="G81" s="8" t="s">
        <v>6</v>
      </c>
      <c r="H81" s="13">
        <v>30.0</v>
      </c>
      <c r="I81" s="14">
        <f>detail_avancement!B81</f>
        <v>40</v>
      </c>
      <c r="J81" s="15">
        <f t="shared" si="1"/>
        <v>0</v>
      </c>
      <c r="K81" s="16">
        <f t="shared" si="2"/>
        <v>1</v>
      </c>
    </row>
    <row r="82">
      <c r="A82" s="8">
        <v>81.0</v>
      </c>
      <c r="B82" s="9" t="s">
        <v>19</v>
      </c>
      <c r="C82" s="11" t="s">
        <v>108</v>
      </c>
      <c r="D82" s="11" t="s">
        <v>61</v>
      </c>
      <c r="E82" s="11" t="s">
        <v>111</v>
      </c>
      <c r="F82" s="11" t="s">
        <v>110</v>
      </c>
      <c r="G82" s="8" t="s">
        <v>2</v>
      </c>
      <c r="H82" s="13">
        <v>30.0</v>
      </c>
      <c r="I82" s="14">
        <f>detail_avancement!B82</f>
        <v>45</v>
      </c>
      <c r="J82" s="15">
        <f t="shared" si="1"/>
        <v>0</v>
      </c>
      <c r="K82" s="16">
        <f t="shared" si="2"/>
        <v>1</v>
      </c>
    </row>
    <row r="83">
      <c r="A83" s="8">
        <v>82.0</v>
      </c>
      <c r="B83" s="9" t="s">
        <v>29</v>
      </c>
      <c r="C83" s="11" t="s">
        <v>108</v>
      </c>
      <c r="D83" s="11" t="s">
        <v>112</v>
      </c>
      <c r="E83" s="11" t="s">
        <v>113</v>
      </c>
      <c r="F83" s="11" t="s">
        <v>110</v>
      </c>
      <c r="G83" s="8" t="s">
        <v>6</v>
      </c>
      <c r="H83" s="13">
        <v>30.0</v>
      </c>
      <c r="I83" s="14">
        <f>detail_avancement!B83</f>
        <v>40</v>
      </c>
      <c r="J83" s="15">
        <f t="shared" si="1"/>
        <v>0</v>
      </c>
      <c r="K83" s="16">
        <f t="shared" si="2"/>
        <v>1</v>
      </c>
    </row>
    <row r="84">
      <c r="A84" s="8">
        <v>83.0</v>
      </c>
      <c r="B84" s="9" t="s">
        <v>29</v>
      </c>
      <c r="C84" s="11" t="s">
        <v>108</v>
      </c>
      <c r="D84" s="11" t="s">
        <v>112</v>
      </c>
      <c r="E84" s="11" t="s">
        <v>61</v>
      </c>
      <c r="F84" s="11" t="s">
        <v>106</v>
      </c>
      <c r="G84" s="8" t="s">
        <v>6</v>
      </c>
      <c r="H84" s="13">
        <v>40.0</v>
      </c>
      <c r="I84" s="14">
        <f>detail_avancement!B84</f>
        <v>40</v>
      </c>
      <c r="J84" s="15">
        <f t="shared" si="1"/>
        <v>0</v>
      </c>
      <c r="K84" s="16">
        <f t="shared" si="2"/>
        <v>1</v>
      </c>
    </row>
    <row r="85">
      <c r="A85" s="8">
        <v>84.0</v>
      </c>
      <c r="B85" s="9" t="s">
        <v>29</v>
      </c>
      <c r="C85" s="11" t="s">
        <v>108</v>
      </c>
      <c r="D85" s="11" t="s">
        <v>112</v>
      </c>
      <c r="E85" s="11" t="s">
        <v>107</v>
      </c>
      <c r="F85" s="11" t="s">
        <v>85</v>
      </c>
      <c r="G85" s="8" t="s">
        <v>0</v>
      </c>
      <c r="H85" s="13">
        <v>30.0</v>
      </c>
      <c r="I85" s="14">
        <f>detail_avancement!B85</f>
        <v>40</v>
      </c>
      <c r="J85" s="15">
        <f t="shared" si="1"/>
        <v>0</v>
      </c>
      <c r="K85" s="16">
        <f t="shared" si="2"/>
        <v>1</v>
      </c>
    </row>
    <row r="86">
      <c r="A86" s="8">
        <v>85.0</v>
      </c>
      <c r="B86" s="9" t="s">
        <v>29</v>
      </c>
      <c r="C86" s="11" t="s">
        <v>114</v>
      </c>
      <c r="D86" s="11" t="s">
        <v>61</v>
      </c>
      <c r="E86" s="11" t="s">
        <v>107</v>
      </c>
      <c r="F86" s="11" t="s">
        <v>85</v>
      </c>
      <c r="G86" s="8" t="s">
        <v>4</v>
      </c>
      <c r="H86" s="13">
        <v>30.0</v>
      </c>
      <c r="I86" s="14">
        <f>detail_avancement!B86</f>
        <v>30</v>
      </c>
      <c r="J86" s="15">
        <f t="shared" si="1"/>
        <v>0</v>
      </c>
      <c r="K86" s="16">
        <f t="shared" si="2"/>
        <v>1</v>
      </c>
    </row>
    <row r="87">
      <c r="A87" s="8">
        <v>86.0</v>
      </c>
      <c r="B87" s="9" t="s">
        <v>29</v>
      </c>
      <c r="C87" s="11" t="s">
        <v>115</v>
      </c>
      <c r="D87" s="11" t="s">
        <v>61</v>
      </c>
      <c r="E87" s="11" t="s">
        <v>107</v>
      </c>
      <c r="F87" s="11" t="s">
        <v>85</v>
      </c>
      <c r="G87" s="8" t="s">
        <v>4</v>
      </c>
      <c r="H87" s="13">
        <v>60.0</v>
      </c>
      <c r="I87" s="14">
        <f>detail_avancement!B87</f>
        <v>60</v>
      </c>
      <c r="J87" s="15">
        <f t="shared" si="1"/>
        <v>0</v>
      </c>
      <c r="K87" s="16">
        <f t="shared" si="2"/>
        <v>1</v>
      </c>
    </row>
    <row r="88">
      <c r="A88" s="8">
        <v>87.0</v>
      </c>
      <c r="B88" s="9" t="s">
        <v>29</v>
      </c>
      <c r="C88" s="11" t="s">
        <v>116</v>
      </c>
      <c r="D88" s="11" t="s">
        <v>61</v>
      </c>
      <c r="E88" s="11" t="s">
        <v>107</v>
      </c>
      <c r="F88" s="11" t="s">
        <v>85</v>
      </c>
      <c r="G88" s="8" t="s">
        <v>4</v>
      </c>
      <c r="H88" s="13">
        <v>60.0</v>
      </c>
      <c r="I88" s="14">
        <f>detail_avancement!B88</f>
        <v>60</v>
      </c>
      <c r="J88" s="15">
        <f t="shared" si="1"/>
        <v>0</v>
      </c>
      <c r="K88" s="16">
        <f t="shared" si="2"/>
        <v>1</v>
      </c>
    </row>
    <row r="89">
      <c r="A89" s="8">
        <v>88.0</v>
      </c>
      <c r="B89" s="9" t="s">
        <v>29</v>
      </c>
      <c r="C89" s="11" t="s">
        <v>117</v>
      </c>
      <c r="D89" s="11" t="s">
        <v>61</v>
      </c>
      <c r="E89" s="11" t="s">
        <v>107</v>
      </c>
      <c r="F89" s="11" t="s">
        <v>85</v>
      </c>
      <c r="G89" s="8" t="s">
        <v>4</v>
      </c>
      <c r="H89" s="13">
        <v>25.0</v>
      </c>
      <c r="I89" s="14">
        <f>detail_avancement!B89</f>
        <v>25</v>
      </c>
      <c r="J89" s="15">
        <f t="shared" si="1"/>
        <v>0</v>
      </c>
      <c r="K89" s="16">
        <f t="shared" si="2"/>
        <v>1</v>
      </c>
    </row>
    <row r="90">
      <c r="A90" s="8">
        <v>89.0</v>
      </c>
      <c r="B90" s="9" t="s">
        <v>19</v>
      </c>
      <c r="C90" s="11" t="s">
        <v>118</v>
      </c>
      <c r="D90" s="11" t="s">
        <v>61</v>
      </c>
      <c r="E90" s="11" t="s">
        <v>107</v>
      </c>
      <c r="F90" s="11" t="s">
        <v>85</v>
      </c>
      <c r="G90" s="8" t="s">
        <v>2</v>
      </c>
      <c r="H90" s="13">
        <v>30.0</v>
      </c>
      <c r="I90" s="14">
        <f>detail_avancement!B90</f>
        <v>30</v>
      </c>
      <c r="J90" s="15">
        <f t="shared" si="1"/>
        <v>0</v>
      </c>
      <c r="K90" s="16">
        <f t="shared" si="2"/>
        <v>1</v>
      </c>
    </row>
    <row r="91">
      <c r="A91" s="8">
        <v>90.0</v>
      </c>
      <c r="B91" s="9" t="s">
        <v>29</v>
      </c>
      <c r="C91" s="11" t="s">
        <v>119</v>
      </c>
      <c r="D91" s="11" t="s">
        <v>61</v>
      </c>
      <c r="E91" s="11" t="s">
        <v>107</v>
      </c>
      <c r="F91" s="11" t="s">
        <v>85</v>
      </c>
      <c r="G91" s="8" t="s">
        <v>2</v>
      </c>
      <c r="H91" s="13">
        <v>30.0</v>
      </c>
      <c r="I91" s="14">
        <f>detail_avancement!B91</f>
        <v>30</v>
      </c>
      <c r="J91" s="15">
        <f t="shared" si="1"/>
        <v>0</v>
      </c>
      <c r="K91" s="16">
        <f t="shared" si="2"/>
        <v>1</v>
      </c>
    </row>
    <row r="92">
      <c r="A92" s="8">
        <v>91.0</v>
      </c>
      <c r="B92" s="9" t="s">
        <v>29</v>
      </c>
      <c r="C92" s="11" t="s">
        <v>120</v>
      </c>
      <c r="D92" s="11" t="s">
        <v>121</v>
      </c>
      <c r="E92" s="11" t="s">
        <v>107</v>
      </c>
      <c r="F92" s="11" t="s">
        <v>85</v>
      </c>
      <c r="G92" s="8" t="s">
        <v>2</v>
      </c>
      <c r="H92" s="13">
        <v>10.0</v>
      </c>
      <c r="I92" s="14">
        <f>detail_avancement!B92</f>
        <v>10</v>
      </c>
      <c r="J92" s="15">
        <f t="shared" si="1"/>
        <v>0</v>
      </c>
      <c r="K92" s="16">
        <f t="shared" si="2"/>
        <v>1</v>
      </c>
    </row>
    <row r="93">
      <c r="A93" s="8">
        <v>92.0</v>
      </c>
      <c r="B93" s="9" t="s">
        <v>19</v>
      </c>
      <c r="C93" s="11" t="s">
        <v>122</v>
      </c>
      <c r="D93" s="11" t="s">
        <v>61</v>
      </c>
      <c r="E93" s="11" t="s">
        <v>123</v>
      </c>
      <c r="F93" s="11" t="s">
        <v>23</v>
      </c>
      <c r="G93" s="8" t="s">
        <v>4</v>
      </c>
      <c r="H93" s="13">
        <v>10.0</v>
      </c>
      <c r="I93" s="14">
        <f>detail_avancement!B93</f>
        <v>10</v>
      </c>
      <c r="J93" s="15">
        <f t="shared" si="1"/>
        <v>0</v>
      </c>
      <c r="K93" s="16">
        <f t="shared" si="2"/>
        <v>1</v>
      </c>
    </row>
    <row r="94">
      <c r="A94" s="8">
        <v>93.0</v>
      </c>
      <c r="B94" s="9" t="s">
        <v>29</v>
      </c>
      <c r="C94" s="11" t="s">
        <v>122</v>
      </c>
      <c r="D94" s="11" t="s">
        <v>61</v>
      </c>
      <c r="E94" s="11" t="s">
        <v>124</v>
      </c>
      <c r="F94" s="11" t="s">
        <v>23</v>
      </c>
      <c r="G94" s="8" t="s">
        <v>4</v>
      </c>
      <c r="H94" s="13">
        <v>10.0</v>
      </c>
      <c r="I94" s="14">
        <f>detail_avancement!B94</f>
        <v>10</v>
      </c>
      <c r="J94" s="15">
        <f t="shared" si="1"/>
        <v>0</v>
      </c>
      <c r="K94" s="16">
        <f t="shared" si="2"/>
        <v>1</v>
      </c>
    </row>
    <row r="95">
      <c r="A95" s="8">
        <v>94.0</v>
      </c>
      <c r="B95" s="9" t="s">
        <v>19</v>
      </c>
      <c r="C95" s="11" t="s">
        <v>82</v>
      </c>
      <c r="D95" s="11" t="s">
        <v>125</v>
      </c>
      <c r="E95" s="11" t="s">
        <v>126</v>
      </c>
      <c r="F95" s="11" t="s">
        <v>85</v>
      </c>
      <c r="G95" s="8" t="s">
        <v>2</v>
      </c>
      <c r="H95" s="13">
        <v>10.0</v>
      </c>
      <c r="I95" s="14">
        <f>detail_avancement!B95</f>
        <v>10</v>
      </c>
      <c r="J95" s="15">
        <f t="shared" si="1"/>
        <v>0</v>
      </c>
      <c r="K95" s="16">
        <f t="shared" si="2"/>
        <v>1</v>
      </c>
    </row>
    <row r="96">
      <c r="A96" s="8">
        <v>95.0</v>
      </c>
      <c r="B96" s="9" t="s">
        <v>19</v>
      </c>
      <c r="C96" s="11" t="s">
        <v>82</v>
      </c>
      <c r="D96" s="11" t="s">
        <v>125</v>
      </c>
      <c r="E96" s="11" t="s">
        <v>127</v>
      </c>
      <c r="F96" s="11" t="s">
        <v>110</v>
      </c>
      <c r="G96" s="8" t="s">
        <v>6</v>
      </c>
      <c r="H96" s="13">
        <v>10.0</v>
      </c>
      <c r="I96" s="14">
        <f>detail_avancement!B96</f>
        <v>10</v>
      </c>
      <c r="J96" s="15">
        <f t="shared" si="1"/>
        <v>0</v>
      </c>
      <c r="K96" s="16">
        <f t="shared" si="2"/>
        <v>1</v>
      </c>
    </row>
    <row r="97">
      <c r="A97" s="8">
        <v>96.0</v>
      </c>
      <c r="B97" s="9" t="s">
        <v>29</v>
      </c>
      <c r="C97" s="11" t="s">
        <v>82</v>
      </c>
      <c r="D97" s="11" t="s">
        <v>125</v>
      </c>
      <c r="E97" s="11" t="s">
        <v>105</v>
      </c>
      <c r="F97" s="11" t="s">
        <v>106</v>
      </c>
      <c r="G97" s="8" t="s">
        <v>6</v>
      </c>
      <c r="H97" s="13">
        <v>10.0</v>
      </c>
      <c r="I97" s="14">
        <f>detail_avancement!B97</f>
        <v>10</v>
      </c>
      <c r="J97" s="15">
        <f t="shared" si="1"/>
        <v>0</v>
      </c>
      <c r="K97" s="16">
        <f t="shared" si="2"/>
        <v>1</v>
      </c>
    </row>
    <row r="98">
      <c r="A98" s="8">
        <v>97.0</v>
      </c>
      <c r="B98" s="9" t="s">
        <v>29</v>
      </c>
      <c r="C98" s="11" t="s">
        <v>120</v>
      </c>
      <c r="D98" s="11" t="s">
        <v>128</v>
      </c>
      <c r="E98" s="11" t="s">
        <v>107</v>
      </c>
      <c r="F98" s="11" t="s">
        <v>85</v>
      </c>
      <c r="G98" s="8" t="s">
        <v>2</v>
      </c>
      <c r="H98" s="13">
        <v>10.0</v>
      </c>
      <c r="I98" s="14">
        <f>detail_avancement!B98</f>
        <v>10</v>
      </c>
      <c r="J98" s="15">
        <f t="shared" si="1"/>
        <v>0</v>
      </c>
      <c r="K98" s="16">
        <f t="shared" si="2"/>
        <v>1</v>
      </c>
    </row>
    <row r="99">
      <c r="A99" s="8">
        <v>98.0</v>
      </c>
      <c r="B99" s="9" t="s">
        <v>19</v>
      </c>
      <c r="C99" s="11" t="s">
        <v>82</v>
      </c>
      <c r="D99" s="11" t="s">
        <v>104</v>
      </c>
      <c r="E99" s="11" t="s">
        <v>129</v>
      </c>
      <c r="F99" s="11" t="s">
        <v>23</v>
      </c>
      <c r="G99" s="8" t="s">
        <v>0</v>
      </c>
      <c r="H99" s="13">
        <v>15.0</v>
      </c>
      <c r="I99" s="14">
        <f>detail_avancement!B99</f>
        <v>15</v>
      </c>
      <c r="J99" s="15">
        <f t="shared" si="1"/>
        <v>0</v>
      </c>
      <c r="K99" s="16">
        <f t="shared" si="2"/>
        <v>1</v>
      </c>
    </row>
    <row r="100">
      <c r="A100" s="8">
        <v>99.0</v>
      </c>
      <c r="B100" s="9" t="s">
        <v>19</v>
      </c>
      <c r="C100" s="11" t="s">
        <v>82</v>
      </c>
      <c r="D100" s="11" t="s">
        <v>104</v>
      </c>
      <c r="E100" s="11" t="s">
        <v>107</v>
      </c>
      <c r="F100" s="11" t="s">
        <v>85</v>
      </c>
      <c r="G100" s="8" t="s">
        <v>0</v>
      </c>
      <c r="H100" s="13">
        <v>10.0</v>
      </c>
      <c r="I100" s="14">
        <f>detail_avancement!B100</f>
        <v>10</v>
      </c>
      <c r="J100" s="15">
        <f t="shared" si="1"/>
        <v>0</v>
      </c>
      <c r="K100" s="16">
        <f t="shared" si="2"/>
        <v>1</v>
      </c>
    </row>
    <row r="101">
      <c r="A101" s="8">
        <v>100.0</v>
      </c>
      <c r="B101" s="9" t="s">
        <v>19</v>
      </c>
      <c r="C101" s="11" t="s">
        <v>82</v>
      </c>
      <c r="D101" s="11" t="s">
        <v>104</v>
      </c>
      <c r="E101" s="11"/>
      <c r="F101" s="11" t="s">
        <v>106</v>
      </c>
      <c r="G101" s="8" t="s">
        <v>0</v>
      </c>
      <c r="H101" s="13">
        <v>10.0</v>
      </c>
      <c r="I101" s="14">
        <f>detail_avancement!B101</f>
        <v>10</v>
      </c>
      <c r="J101" s="15">
        <f t="shared" si="1"/>
        <v>0</v>
      </c>
      <c r="K101" s="16">
        <f t="shared" si="2"/>
        <v>1</v>
      </c>
    </row>
    <row r="102">
      <c r="A102" s="8">
        <v>101.0</v>
      </c>
      <c r="B102" s="9" t="s">
        <v>19</v>
      </c>
      <c r="C102" s="11" t="s">
        <v>103</v>
      </c>
      <c r="D102" s="11"/>
      <c r="E102" s="11"/>
      <c r="F102" s="11" t="s">
        <v>61</v>
      </c>
      <c r="G102" s="8" t="s">
        <v>6</v>
      </c>
      <c r="H102" s="13">
        <v>60.0</v>
      </c>
      <c r="I102" s="14">
        <f>detail_avancement!B102</f>
        <v>60</v>
      </c>
      <c r="J102" s="15">
        <f t="shared" si="1"/>
        <v>0</v>
      </c>
      <c r="K102" s="16">
        <f t="shared" si="2"/>
        <v>1</v>
      </c>
    </row>
    <row r="103">
      <c r="A103" s="8">
        <v>102.0</v>
      </c>
      <c r="B103" s="9" t="s">
        <v>19</v>
      </c>
      <c r="C103" s="11" t="s">
        <v>130</v>
      </c>
      <c r="D103" s="11"/>
      <c r="E103" s="11" t="s">
        <v>131</v>
      </c>
      <c r="F103" s="11" t="s">
        <v>61</v>
      </c>
      <c r="G103" s="8" t="s">
        <v>4</v>
      </c>
      <c r="H103" s="13">
        <v>20.0</v>
      </c>
      <c r="I103" s="14">
        <v>20.0</v>
      </c>
      <c r="J103" s="15">
        <f t="shared" si="1"/>
        <v>0</v>
      </c>
      <c r="K103" s="16">
        <f t="shared" si="2"/>
        <v>1</v>
      </c>
    </row>
  </sheetData>
  <customSheetViews>
    <customSheetView guid="{1E602C4F-0A14-45E3-847C-A2D7EA53E9ED}" filter="1" showAutoFilter="1">
      <autoFilter ref="$A$1:$K$76">
        <filterColumn colId="6">
          <filters>
            <filter val="ETU003356"/>
          </filters>
        </filterColumn>
      </autoFilter>
    </customSheetView>
  </customSheetView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9">
      <c r="A9" s="27" t="s">
        <v>18</v>
      </c>
      <c r="B9" s="28">
        <f>avancement!D2</f>
        <v>1</v>
      </c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8</v>
      </c>
      <c r="B1" s="30" t="s">
        <v>136</v>
      </c>
      <c r="C1" s="31">
        <v>46048.0</v>
      </c>
      <c r="D1" s="31">
        <v>46049.0</v>
      </c>
      <c r="E1" s="31">
        <v>46050.0</v>
      </c>
      <c r="F1" s="31">
        <v>46051.0</v>
      </c>
      <c r="G1" s="31">
        <v>46052.0</v>
      </c>
      <c r="H1" s="31">
        <v>46053.0</v>
      </c>
      <c r="I1" s="31">
        <v>46054.0</v>
      </c>
      <c r="J1" s="31">
        <v>46055.0</v>
      </c>
      <c r="K1" s="31">
        <v>46056.0</v>
      </c>
      <c r="L1" s="31">
        <v>46057.0</v>
      </c>
      <c r="M1" s="31">
        <v>46058.0</v>
      </c>
      <c r="N1" s="31">
        <v>46059.0</v>
      </c>
      <c r="O1" s="31">
        <v>46060.0</v>
      </c>
      <c r="P1" s="31">
        <v>46061.0</v>
      </c>
      <c r="Q1" s="31">
        <v>46062.0</v>
      </c>
      <c r="R1" s="31">
        <v>46063.0</v>
      </c>
      <c r="S1" s="32"/>
      <c r="T1" s="32"/>
      <c r="U1" s="32"/>
      <c r="V1" s="32"/>
      <c r="W1" s="32"/>
      <c r="X1" s="32"/>
      <c r="Y1" s="32"/>
      <c r="Z1" s="32"/>
    </row>
    <row r="2">
      <c r="A2" s="33">
        <v>1.0</v>
      </c>
      <c r="B2" s="34">
        <f t="shared" ref="B2:B103" si="1">SUM(C2:R2)</f>
        <v>60</v>
      </c>
      <c r="C2" s="35">
        <v>60.0</v>
      </c>
      <c r="D2" s="36">
        <v>0.0</v>
      </c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>
      <c r="A3" s="33">
        <v>2.0</v>
      </c>
      <c r="B3" s="34">
        <f t="shared" si="1"/>
        <v>30</v>
      </c>
      <c r="C3" s="35">
        <v>30.0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>
      <c r="A4" s="33">
        <v>3.0</v>
      </c>
      <c r="B4" s="34">
        <f t="shared" si="1"/>
        <v>20</v>
      </c>
      <c r="C4" s="36">
        <v>20.0</v>
      </c>
      <c r="D4" s="33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>
      <c r="A5" s="33">
        <v>4.0</v>
      </c>
      <c r="B5" s="34">
        <f t="shared" si="1"/>
        <v>30</v>
      </c>
      <c r="C5" s="35">
        <v>30.0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>
      <c r="A6" s="33">
        <v>5.0</v>
      </c>
      <c r="B6" s="34">
        <f t="shared" si="1"/>
        <v>30</v>
      </c>
      <c r="C6" s="35">
        <v>30.0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>
      <c r="A7" s="33">
        <v>6.0</v>
      </c>
      <c r="B7" s="34">
        <f t="shared" si="1"/>
        <v>30</v>
      </c>
      <c r="C7" s="35">
        <v>30.0</v>
      </c>
      <c r="D7" s="33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>
      <c r="A8" s="33">
        <v>7.0</v>
      </c>
      <c r="B8" s="34">
        <f t="shared" si="1"/>
        <v>45</v>
      </c>
      <c r="C8" s="35">
        <v>45.0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>
      <c r="A9" s="33">
        <v>8.0</v>
      </c>
      <c r="B9" s="34">
        <f t="shared" si="1"/>
        <v>30</v>
      </c>
      <c r="C9" s="35">
        <v>30.0</v>
      </c>
      <c r="D9" s="33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>
      <c r="A10" s="33">
        <v>9.0</v>
      </c>
      <c r="B10" s="34">
        <f t="shared" si="1"/>
        <v>30</v>
      </c>
      <c r="C10" s="35">
        <v>30.0</v>
      </c>
      <c r="D10" s="37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>
      <c r="A11" s="33">
        <v>10.0</v>
      </c>
      <c r="B11" s="34">
        <f t="shared" si="1"/>
        <v>30</v>
      </c>
      <c r="C11" s="35">
        <v>30.0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>
      <c r="A12" s="33">
        <v>11.0</v>
      </c>
      <c r="B12" s="34">
        <f t="shared" si="1"/>
        <v>35</v>
      </c>
      <c r="C12" s="35">
        <v>35.0</v>
      </c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>
      <c r="A13" s="33">
        <v>12.0</v>
      </c>
      <c r="B13" s="34">
        <f t="shared" si="1"/>
        <v>30</v>
      </c>
      <c r="C13" s="35">
        <v>30.0</v>
      </c>
      <c r="D13" s="32"/>
      <c r="E13" s="32"/>
      <c r="F13" s="32"/>
      <c r="G13" s="32"/>
      <c r="H13" s="32"/>
      <c r="I13" s="38" t="s">
        <v>137</v>
      </c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>
      <c r="A14" s="33">
        <v>13.0</v>
      </c>
      <c r="B14" s="34">
        <f t="shared" si="1"/>
        <v>20</v>
      </c>
      <c r="C14" s="35">
        <v>20.0</v>
      </c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>
      <c r="A15" s="33">
        <v>14.0</v>
      </c>
      <c r="B15" s="34">
        <f t="shared" si="1"/>
        <v>30</v>
      </c>
      <c r="C15" s="35"/>
      <c r="D15" s="32"/>
      <c r="E15" s="32"/>
      <c r="F15" s="32"/>
      <c r="G15" s="38">
        <v>30.0</v>
      </c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33">
        <v>15.0</v>
      </c>
      <c r="B16" s="34">
        <f t="shared" si="1"/>
        <v>30</v>
      </c>
      <c r="C16" s="35"/>
      <c r="D16" s="32"/>
      <c r="E16" s="32"/>
      <c r="F16" s="32"/>
      <c r="G16" s="38">
        <v>30.0</v>
      </c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33">
        <v>16.0</v>
      </c>
      <c r="B17" s="34">
        <f t="shared" si="1"/>
        <v>20</v>
      </c>
      <c r="C17" s="39"/>
      <c r="D17" s="32"/>
      <c r="E17" s="32"/>
      <c r="F17" s="32"/>
      <c r="G17" s="38">
        <v>20.0</v>
      </c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33">
        <v>17.0</v>
      </c>
      <c r="B18" s="34">
        <f t="shared" si="1"/>
        <v>20</v>
      </c>
      <c r="C18" s="39"/>
      <c r="D18" s="38">
        <v>20.0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33">
        <v>18.0</v>
      </c>
      <c r="B19" s="34">
        <f t="shared" si="1"/>
        <v>20</v>
      </c>
      <c r="C19" s="39"/>
      <c r="D19" s="38">
        <v>20.0</v>
      </c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33">
        <v>19.0</v>
      </c>
      <c r="B20" s="34">
        <f t="shared" si="1"/>
        <v>30</v>
      </c>
      <c r="C20" s="39"/>
      <c r="D20" s="32"/>
      <c r="E20" s="32"/>
      <c r="F20" s="32"/>
      <c r="G20" s="38">
        <v>30.0</v>
      </c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>
      <c r="A21" s="33">
        <v>20.0</v>
      </c>
      <c r="B21" s="34">
        <f t="shared" si="1"/>
        <v>30</v>
      </c>
      <c r="C21" s="35">
        <v>30.0</v>
      </c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>
      <c r="A22" s="33">
        <v>21.0</v>
      </c>
      <c r="B22" s="34">
        <f t="shared" si="1"/>
        <v>10</v>
      </c>
      <c r="C22" s="35">
        <v>10.0</v>
      </c>
      <c r="D22" s="35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>
      <c r="A23" s="33">
        <v>22.0</v>
      </c>
      <c r="B23" s="34">
        <f t="shared" si="1"/>
        <v>30</v>
      </c>
      <c r="C23" s="35">
        <v>20.0</v>
      </c>
      <c r="D23" s="35">
        <v>10.0</v>
      </c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>
      <c r="A24" s="33">
        <v>23.0</v>
      </c>
      <c r="B24" s="34">
        <f t="shared" si="1"/>
        <v>30</v>
      </c>
      <c r="C24" s="35">
        <v>30.0</v>
      </c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>
      <c r="A25" s="33">
        <v>24.0</v>
      </c>
      <c r="B25" s="34">
        <f t="shared" si="1"/>
        <v>25</v>
      </c>
      <c r="C25" s="39"/>
      <c r="D25" s="32"/>
      <c r="E25" s="32"/>
      <c r="F25" s="32"/>
      <c r="G25" s="38">
        <v>25.0</v>
      </c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>
      <c r="A26" s="33">
        <v>25.0</v>
      </c>
      <c r="B26" s="34">
        <f t="shared" si="1"/>
        <v>40</v>
      </c>
      <c r="C26" s="39"/>
      <c r="D26" s="32"/>
      <c r="E26" s="32"/>
      <c r="F26" s="32"/>
      <c r="G26" s="32"/>
      <c r="I26" s="32"/>
      <c r="J26" s="38">
        <v>40.0</v>
      </c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>
      <c r="A27" s="33">
        <v>26.0</v>
      </c>
      <c r="B27" s="34">
        <f t="shared" si="1"/>
        <v>20</v>
      </c>
      <c r="C27" s="39"/>
      <c r="D27" s="32"/>
      <c r="E27" s="32"/>
      <c r="F27" s="32"/>
      <c r="G27" s="38">
        <v>20.0</v>
      </c>
      <c r="I27" s="32"/>
      <c r="J27" s="38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>
      <c r="A28" s="33">
        <v>27.0</v>
      </c>
      <c r="B28" s="34">
        <f t="shared" si="1"/>
        <v>20</v>
      </c>
      <c r="C28" s="39"/>
      <c r="D28" s="32"/>
      <c r="E28" s="32"/>
      <c r="F28" s="32"/>
      <c r="G28" s="38">
        <v>20.0</v>
      </c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>
      <c r="A29" s="33">
        <v>28.0</v>
      </c>
      <c r="B29" s="34">
        <f t="shared" si="1"/>
        <v>40</v>
      </c>
      <c r="C29" s="39"/>
      <c r="D29" s="32"/>
      <c r="E29" s="32"/>
      <c r="F29" s="32"/>
      <c r="G29" s="32"/>
      <c r="I29" s="32"/>
      <c r="J29" s="38">
        <v>40.0</v>
      </c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>
      <c r="A30" s="33">
        <v>29.0</v>
      </c>
      <c r="B30" s="34">
        <f t="shared" si="1"/>
        <v>20</v>
      </c>
      <c r="C30" s="39"/>
      <c r="D30" s="32"/>
      <c r="E30" s="32"/>
      <c r="F30" s="32"/>
      <c r="G30" s="32"/>
      <c r="I30" s="32"/>
      <c r="J30" s="38">
        <v>20.0</v>
      </c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>
      <c r="A31" s="33">
        <v>30.0</v>
      </c>
      <c r="B31" s="34">
        <f t="shared" si="1"/>
        <v>60</v>
      </c>
      <c r="C31" s="39"/>
      <c r="D31" s="32"/>
      <c r="E31" s="32"/>
      <c r="F31" s="32"/>
      <c r="G31" s="38"/>
      <c r="I31" s="32"/>
      <c r="J31" s="38">
        <v>60.0</v>
      </c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>
      <c r="A32" s="33">
        <v>31.0</v>
      </c>
      <c r="B32" s="34">
        <f t="shared" si="1"/>
        <v>20</v>
      </c>
      <c r="C32" s="39"/>
      <c r="D32" s="32"/>
      <c r="E32" s="32"/>
      <c r="F32" s="32"/>
      <c r="G32" s="32"/>
      <c r="I32" s="32"/>
      <c r="J32" s="38">
        <v>20.0</v>
      </c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>
      <c r="A33" s="33">
        <v>32.0</v>
      </c>
      <c r="B33" s="34">
        <f t="shared" si="1"/>
        <v>40</v>
      </c>
      <c r="C33" s="39"/>
      <c r="D33" s="32"/>
      <c r="E33" s="32"/>
      <c r="F33" s="32"/>
      <c r="G33" s="32"/>
      <c r="I33" s="32"/>
      <c r="J33" s="38">
        <v>40.0</v>
      </c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>
      <c r="A34" s="33">
        <v>33.0</v>
      </c>
      <c r="B34" s="34">
        <f t="shared" si="1"/>
        <v>45</v>
      </c>
      <c r="C34" s="39"/>
      <c r="D34" s="32"/>
      <c r="E34" s="32"/>
      <c r="F34" s="32"/>
      <c r="G34" s="32"/>
      <c r="I34" s="32"/>
      <c r="J34" s="38">
        <v>45.0</v>
      </c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>
      <c r="A35" s="33">
        <v>34.0</v>
      </c>
      <c r="B35" s="34">
        <f t="shared" si="1"/>
        <v>30</v>
      </c>
      <c r="C35" s="39"/>
      <c r="D35" s="32"/>
      <c r="E35" s="32"/>
      <c r="F35" s="32"/>
      <c r="G35" s="32"/>
      <c r="I35" s="32"/>
      <c r="J35" s="38">
        <v>30.0</v>
      </c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>
      <c r="A36" s="33">
        <v>35.0</v>
      </c>
      <c r="B36" s="34">
        <f t="shared" si="1"/>
        <v>20</v>
      </c>
      <c r="C36" s="39"/>
      <c r="D36" s="38"/>
      <c r="E36" s="32"/>
      <c r="F36" s="32"/>
      <c r="G36" s="32"/>
      <c r="I36" s="32"/>
      <c r="J36" s="38">
        <v>20.0</v>
      </c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>
      <c r="A37" s="33">
        <v>36.0</v>
      </c>
      <c r="B37" s="34">
        <f t="shared" si="1"/>
        <v>20</v>
      </c>
      <c r="C37" s="39"/>
      <c r="D37" s="32"/>
      <c r="E37" s="32"/>
      <c r="F37" s="32"/>
      <c r="G37" s="32"/>
      <c r="I37" s="32"/>
      <c r="J37" s="38">
        <v>20.0</v>
      </c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>
      <c r="A38" s="33">
        <v>37.0</v>
      </c>
      <c r="B38" s="34">
        <f t="shared" si="1"/>
        <v>20</v>
      </c>
      <c r="C38" s="39"/>
      <c r="D38" s="38">
        <v>20.0</v>
      </c>
      <c r="E38" s="32"/>
      <c r="F38" s="32"/>
      <c r="G38" s="32"/>
      <c r="I38" s="32"/>
      <c r="J38" s="38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>
      <c r="A39" s="33">
        <v>38.0</v>
      </c>
      <c r="B39" s="34">
        <f t="shared" si="1"/>
        <v>40</v>
      </c>
      <c r="C39" s="39"/>
      <c r="D39" s="32"/>
      <c r="E39" s="32"/>
      <c r="F39" s="32"/>
      <c r="G39" s="32"/>
      <c r="I39" s="32"/>
      <c r="J39" s="38">
        <v>40.0</v>
      </c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>
      <c r="A40" s="33">
        <v>39.0</v>
      </c>
      <c r="B40" s="34">
        <f t="shared" si="1"/>
        <v>30</v>
      </c>
      <c r="C40" s="39"/>
      <c r="D40" s="32"/>
      <c r="E40" s="32"/>
      <c r="F40" s="32"/>
      <c r="G40" s="32"/>
      <c r="I40" s="32"/>
      <c r="J40" s="38">
        <v>30.0</v>
      </c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>
      <c r="A41" s="33">
        <v>40.0</v>
      </c>
      <c r="B41" s="34">
        <f t="shared" si="1"/>
        <v>30</v>
      </c>
      <c r="C41" s="39"/>
      <c r="D41" s="32"/>
      <c r="E41" s="32"/>
      <c r="F41" s="38">
        <v>30.0</v>
      </c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>
      <c r="A42" s="33">
        <v>41.0</v>
      </c>
      <c r="B42" s="34">
        <f t="shared" si="1"/>
        <v>30</v>
      </c>
      <c r="C42" s="39"/>
      <c r="D42" s="32"/>
      <c r="E42" s="32"/>
      <c r="F42" s="38">
        <v>30.0</v>
      </c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>
      <c r="A43" s="33">
        <v>42.0</v>
      </c>
      <c r="B43" s="34">
        <f t="shared" si="1"/>
        <v>60</v>
      </c>
      <c r="C43" s="39"/>
      <c r="D43" s="32"/>
      <c r="E43" s="32"/>
      <c r="F43" s="38">
        <v>60.0</v>
      </c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>
      <c r="A44" s="33">
        <v>43.0</v>
      </c>
      <c r="B44" s="34">
        <f t="shared" si="1"/>
        <v>20</v>
      </c>
      <c r="C44" s="39"/>
      <c r="D44" s="32"/>
      <c r="E44" s="32"/>
      <c r="F44" s="38">
        <v>20.0</v>
      </c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>
      <c r="A45" s="33">
        <v>44.0</v>
      </c>
      <c r="B45" s="34">
        <f t="shared" si="1"/>
        <v>40</v>
      </c>
      <c r="C45" s="39"/>
      <c r="D45" s="38">
        <v>40.0</v>
      </c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>
      <c r="A46" s="33">
        <v>45.0</v>
      </c>
      <c r="B46" s="34">
        <f t="shared" si="1"/>
        <v>30</v>
      </c>
      <c r="C46" s="39"/>
      <c r="D46" s="32"/>
      <c r="E46" s="32"/>
      <c r="F46" s="38">
        <v>30.0</v>
      </c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>
      <c r="A47" s="33">
        <v>46.0</v>
      </c>
      <c r="B47" s="34">
        <f t="shared" si="1"/>
        <v>60</v>
      </c>
      <c r="C47" s="39"/>
      <c r="D47" s="32"/>
      <c r="E47" s="32"/>
      <c r="F47" s="38">
        <v>60.0</v>
      </c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>
      <c r="A48" s="33">
        <v>47.0</v>
      </c>
      <c r="B48" s="34">
        <f t="shared" si="1"/>
        <v>60</v>
      </c>
      <c r="C48" s="39"/>
      <c r="D48" s="32"/>
      <c r="E48" s="32"/>
      <c r="F48" s="38">
        <v>60.0</v>
      </c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>
      <c r="A49" s="33">
        <v>48.0</v>
      </c>
      <c r="B49" s="34">
        <f t="shared" si="1"/>
        <v>60</v>
      </c>
      <c r="C49" s="39"/>
      <c r="D49" s="32"/>
      <c r="E49" s="32"/>
      <c r="F49" s="38">
        <v>60.0</v>
      </c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>
      <c r="A50" s="33">
        <v>49.0</v>
      </c>
      <c r="B50" s="34">
        <f t="shared" si="1"/>
        <v>30</v>
      </c>
      <c r="C50" s="35">
        <v>30.0</v>
      </c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>
      <c r="A51" s="33">
        <v>50.0</v>
      </c>
      <c r="B51" s="34">
        <f t="shared" si="1"/>
        <v>30</v>
      </c>
      <c r="C51" s="35">
        <v>30.0</v>
      </c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>
      <c r="A52" s="33">
        <v>51.0</v>
      </c>
      <c r="B52" s="34">
        <f t="shared" si="1"/>
        <v>30</v>
      </c>
      <c r="C52" s="35">
        <v>30.0</v>
      </c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>
      <c r="A53" s="33">
        <v>52.0</v>
      </c>
      <c r="B53" s="34">
        <f t="shared" si="1"/>
        <v>60</v>
      </c>
      <c r="C53" s="39"/>
      <c r="D53" s="32"/>
      <c r="E53" s="32"/>
      <c r="F53" s="32"/>
      <c r="G53" s="38">
        <v>60.0</v>
      </c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>
      <c r="A54" s="33">
        <v>53.0</v>
      </c>
      <c r="B54" s="34">
        <f t="shared" si="1"/>
        <v>60</v>
      </c>
      <c r="C54" s="39"/>
      <c r="D54" s="32"/>
      <c r="E54" s="32"/>
      <c r="F54" s="32"/>
      <c r="G54" s="38">
        <v>60.0</v>
      </c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>
      <c r="A55" s="33">
        <v>54.0</v>
      </c>
      <c r="B55" s="34">
        <f t="shared" si="1"/>
        <v>60</v>
      </c>
      <c r="C55" s="39"/>
      <c r="D55" s="32"/>
      <c r="E55" s="32"/>
      <c r="F55" s="32"/>
      <c r="G55" s="38">
        <v>60.0</v>
      </c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>
      <c r="A56" s="33">
        <v>55.0</v>
      </c>
      <c r="B56" s="34">
        <f t="shared" si="1"/>
        <v>30</v>
      </c>
      <c r="C56" s="39"/>
      <c r="D56" s="32"/>
      <c r="E56" s="32"/>
      <c r="F56" s="32"/>
      <c r="G56" s="38">
        <v>30.0</v>
      </c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>
      <c r="A57" s="33">
        <v>56.0</v>
      </c>
      <c r="B57" s="34">
        <f t="shared" si="1"/>
        <v>60</v>
      </c>
      <c r="C57" s="39"/>
      <c r="D57" s="32"/>
      <c r="E57" s="32"/>
      <c r="F57" s="32"/>
      <c r="G57" s="32"/>
      <c r="H57" s="32"/>
      <c r="I57" s="32"/>
      <c r="J57" s="38">
        <v>60.0</v>
      </c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>
      <c r="A58" s="33">
        <v>57.0</v>
      </c>
      <c r="B58" s="34">
        <f t="shared" si="1"/>
        <v>60</v>
      </c>
      <c r="C58" s="39"/>
      <c r="D58" s="32"/>
      <c r="E58" s="32"/>
      <c r="F58" s="32"/>
      <c r="G58" s="32"/>
      <c r="H58" s="32"/>
      <c r="I58" s="32"/>
      <c r="J58" s="38">
        <v>60.0</v>
      </c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>
      <c r="A59" s="33">
        <v>58.0</v>
      </c>
      <c r="B59" s="34">
        <f t="shared" si="1"/>
        <v>60</v>
      </c>
      <c r="C59" s="39"/>
      <c r="D59" s="32"/>
      <c r="E59" s="32"/>
      <c r="F59" s="32"/>
      <c r="G59" s="32"/>
      <c r="H59" s="32"/>
      <c r="I59" s="32"/>
      <c r="J59" s="38">
        <v>60.0</v>
      </c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>
      <c r="A60" s="33">
        <v>59.0</v>
      </c>
      <c r="B60" s="34">
        <f t="shared" si="1"/>
        <v>60</v>
      </c>
      <c r="C60" s="39"/>
      <c r="D60" s="32"/>
      <c r="E60" s="32"/>
      <c r="F60" s="32"/>
      <c r="G60" s="38">
        <v>60.0</v>
      </c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>
      <c r="A61" s="33">
        <v>60.0</v>
      </c>
      <c r="B61" s="34">
        <f t="shared" si="1"/>
        <v>60</v>
      </c>
      <c r="C61" s="39"/>
      <c r="D61" s="38">
        <v>60.0</v>
      </c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>
      <c r="A62" s="33">
        <v>61.0</v>
      </c>
      <c r="B62" s="34">
        <f t="shared" si="1"/>
        <v>60</v>
      </c>
      <c r="C62" s="39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8">
        <v>60.0</v>
      </c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>
      <c r="A63" s="33">
        <v>62.0</v>
      </c>
      <c r="B63" s="34">
        <f t="shared" si="1"/>
        <v>60</v>
      </c>
      <c r="C63" s="39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8">
        <v>60.0</v>
      </c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>
      <c r="A64" s="33">
        <v>63.0</v>
      </c>
      <c r="B64" s="34">
        <f t="shared" si="1"/>
        <v>40</v>
      </c>
      <c r="C64" s="39"/>
      <c r="D64" s="32"/>
      <c r="E64" s="32"/>
      <c r="F64" s="32"/>
      <c r="G64" s="38">
        <v>40.0</v>
      </c>
      <c r="H64" s="32"/>
      <c r="I64" s="32"/>
      <c r="J64" s="32"/>
      <c r="K64" s="32"/>
      <c r="L64" s="32"/>
      <c r="M64" s="32"/>
      <c r="N64" s="32"/>
      <c r="O64" s="38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>
      <c r="A65" s="33">
        <v>64.0</v>
      </c>
      <c r="B65" s="34">
        <f t="shared" si="1"/>
        <v>20</v>
      </c>
      <c r="C65" s="39"/>
      <c r="D65" s="32"/>
      <c r="E65" s="32"/>
      <c r="F65" s="32"/>
      <c r="G65" s="38">
        <v>20.0</v>
      </c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>
      <c r="A66" s="33">
        <v>65.0</v>
      </c>
      <c r="B66" s="34">
        <f t="shared" si="1"/>
        <v>40</v>
      </c>
      <c r="C66" s="39"/>
      <c r="D66" s="32"/>
      <c r="E66" s="32"/>
      <c r="F66" s="32"/>
      <c r="G66" s="32"/>
      <c r="H66" s="32"/>
      <c r="I66" s="32"/>
      <c r="J66" s="38">
        <v>40.0</v>
      </c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>
      <c r="A67" s="33">
        <v>66.0</v>
      </c>
      <c r="B67" s="34">
        <f t="shared" si="1"/>
        <v>30</v>
      </c>
      <c r="C67" s="32"/>
      <c r="D67" s="32"/>
      <c r="E67" s="32"/>
      <c r="F67" s="32"/>
      <c r="G67" s="32"/>
      <c r="H67" s="32"/>
      <c r="I67" s="32"/>
      <c r="J67" s="32"/>
      <c r="K67" s="38">
        <v>30.0</v>
      </c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>
      <c r="A68" s="33">
        <v>67.0</v>
      </c>
      <c r="B68" s="34">
        <f t="shared" si="1"/>
        <v>60</v>
      </c>
      <c r="C68" s="32"/>
      <c r="D68" s="32"/>
      <c r="E68" s="32"/>
      <c r="F68" s="32"/>
      <c r="G68" s="32"/>
      <c r="H68" s="32"/>
      <c r="I68" s="32"/>
      <c r="J68" s="32"/>
      <c r="K68" s="38">
        <v>30.0</v>
      </c>
      <c r="L68" s="38">
        <v>30.0</v>
      </c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>
      <c r="A69" s="33">
        <v>68.0</v>
      </c>
      <c r="B69" s="34">
        <f t="shared" si="1"/>
        <v>60</v>
      </c>
      <c r="C69" s="32"/>
      <c r="D69" s="32"/>
      <c r="E69" s="32"/>
      <c r="F69" s="32"/>
      <c r="G69" s="32"/>
      <c r="H69" s="32"/>
      <c r="I69" s="32"/>
      <c r="J69" s="32"/>
      <c r="K69" s="38">
        <v>60.0</v>
      </c>
      <c r="L69" s="38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>
      <c r="A70" s="33">
        <v>69.0</v>
      </c>
      <c r="B70" s="34">
        <f t="shared" si="1"/>
        <v>60</v>
      </c>
      <c r="C70" s="32"/>
      <c r="D70" s="32"/>
      <c r="E70" s="32"/>
      <c r="F70" s="32"/>
      <c r="G70" s="32"/>
      <c r="H70" s="32"/>
      <c r="I70" s="32"/>
      <c r="J70" s="32"/>
      <c r="K70" s="38">
        <v>30.0</v>
      </c>
      <c r="L70" s="38">
        <v>30.0</v>
      </c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>
      <c r="A71" s="33">
        <v>70.0</v>
      </c>
      <c r="B71" s="34">
        <f t="shared" si="1"/>
        <v>60</v>
      </c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8">
        <v>60.0</v>
      </c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>
      <c r="A72" s="33">
        <v>71.0</v>
      </c>
      <c r="B72" s="34">
        <f t="shared" si="1"/>
        <v>60</v>
      </c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8">
        <v>60.0</v>
      </c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>
      <c r="A73" s="33">
        <v>72.0</v>
      </c>
      <c r="B73" s="34">
        <f t="shared" si="1"/>
        <v>60</v>
      </c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8">
        <v>60.0</v>
      </c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>
      <c r="A74" s="33">
        <v>73.0</v>
      </c>
      <c r="B74" s="34">
        <f t="shared" si="1"/>
        <v>60</v>
      </c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8">
        <v>60.0</v>
      </c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>
      <c r="A75" s="33">
        <v>74.0</v>
      </c>
      <c r="B75" s="34">
        <f t="shared" si="1"/>
        <v>60</v>
      </c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8">
        <v>60.0</v>
      </c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>
      <c r="A76" s="33">
        <v>75.0</v>
      </c>
      <c r="B76" s="34">
        <f t="shared" si="1"/>
        <v>60</v>
      </c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8">
        <v>60.0</v>
      </c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>
      <c r="A77" s="33">
        <v>76.0</v>
      </c>
      <c r="B77" s="34">
        <f t="shared" si="1"/>
        <v>60</v>
      </c>
      <c r="C77" s="32"/>
      <c r="D77" s="32"/>
      <c r="E77" s="32"/>
      <c r="F77" s="32"/>
      <c r="G77" s="32"/>
      <c r="H77" s="32"/>
      <c r="I77" s="32"/>
      <c r="J77" s="32"/>
      <c r="K77" s="38">
        <v>60.0</v>
      </c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>
      <c r="A78" s="33">
        <v>77.0</v>
      </c>
      <c r="B78" s="34">
        <f t="shared" si="1"/>
        <v>60</v>
      </c>
      <c r="C78" s="32"/>
      <c r="D78" s="32"/>
      <c r="E78" s="32"/>
      <c r="F78" s="32"/>
      <c r="G78" s="32"/>
      <c r="H78" s="32"/>
      <c r="I78" s="32"/>
      <c r="J78" s="32"/>
      <c r="K78" s="38">
        <v>60.0</v>
      </c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>
      <c r="A79" s="33">
        <v>78.0</v>
      </c>
      <c r="B79" s="34">
        <f t="shared" si="1"/>
        <v>60</v>
      </c>
      <c r="C79" s="32"/>
      <c r="D79" s="32"/>
      <c r="E79" s="32"/>
      <c r="F79" s="32"/>
      <c r="G79" s="32"/>
      <c r="H79" s="32"/>
      <c r="I79" s="32"/>
      <c r="J79" s="32"/>
      <c r="K79" s="38">
        <v>60.0</v>
      </c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>
      <c r="A80" s="33">
        <v>79.0</v>
      </c>
      <c r="B80" s="34">
        <f t="shared" si="1"/>
        <v>30</v>
      </c>
      <c r="C80" s="32"/>
      <c r="D80" s="32"/>
      <c r="E80" s="32"/>
      <c r="F80" s="32"/>
      <c r="G80" s="32"/>
      <c r="H80" s="32"/>
      <c r="I80" s="32"/>
      <c r="J80" s="32"/>
      <c r="K80" s="38">
        <v>30.0</v>
      </c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>
      <c r="A81" s="33">
        <v>80.0</v>
      </c>
      <c r="B81" s="34">
        <f t="shared" si="1"/>
        <v>40</v>
      </c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8">
        <v>30.0</v>
      </c>
      <c r="O81" s="38">
        <v>10.0</v>
      </c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>
      <c r="A82" s="33">
        <v>81.0</v>
      </c>
      <c r="B82" s="34">
        <f t="shared" si="1"/>
        <v>45</v>
      </c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8">
        <v>45.0</v>
      </c>
      <c r="O82" s="38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>
      <c r="A83" s="33">
        <v>82.0</v>
      </c>
      <c r="B83" s="34">
        <f t="shared" si="1"/>
        <v>40</v>
      </c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8">
        <v>40.0</v>
      </c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>
      <c r="A84" s="33">
        <v>83.0</v>
      </c>
      <c r="B84" s="34">
        <f t="shared" si="1"/>
        <v>40</v>
      </c>
      <c r="C84" s="32"/>
      <c r="D84" s="32"/>
      <c r="E84" s="32"/>
      <c r="F84" s="32"/>
      <c r="G84" s="32"/>
      <c r="H84" s="32"/>
      <c r="I84" s="32"/>
      <c r="J84" s="32"/>
      <c r="K84" s="38"/>
      <c r="L84" s="32"/>
      <c r="M84" s="32"/>
      <c r="N84" s="38">
        <v>40.0</v>
      </c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>
      <c r="A85" s="33">
        <v>84.0</v>
      </c>
      <c r="B85" s="34">
        <f t="shared" si="1"/>
        <v>40</v>
      </c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8"/>
      <c r="O85" s="38">
        <v>40.0</v>
      </c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>
      <c r="A86" s="33">
        <v>85.0</v>
      </c>
      <c r="B86" s="34">
        <f t="shared" si="1"/>
        <v>30</v>
      </c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8">
        <v>30.0</v>
      </c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>
      <c r="A87" s="33">
        <v>86.0</v>
      </c>
      <c r="B87" s="34">
        <f t="shared" si="1"/>
        <v>60</v>
      </c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8">
        <v>60.0</v>
      </c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>
      <c r="A88" s="33">
        <v>87.0</v>
      </c>
      <c r="B88" s="34">
        <f t="shared" si="1"/>
        <v>60</v>
      </c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8">
        <v>60.0</v>
      </c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>
      <c r="A89" s="33">
        <v>88.0</v>
      </c>
      <c r="B89" s="34">
        <f t="shared" si="1"/>
        <v>25</v>
      </c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8">
        <v>25.0</v>
      </c>
      <c r="R89" s="32"/>
      <c r="S89" s="32"/>
      <c r="T89" s="32"/>
      <c r="U89" s="32"/>
      <c r="V89" s="32"/>
      <c r="W89" s="32"/>
      <c r="X89" s="32"/>
      <c r="Y89" s="32"/>
      <c r="Z89" s="32"/>
    </row>
    <row r="90">
      <c r="A90" s="33">
        <v>89.0</v>
      </c>
      <c r="B90" s="34">
        <f t="shared" si="1"/>
        <v>30</v>
      </c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8">
        <v>30.0</v>
      </c>
      <c r="R90" s="32"/>
      <c r="S90" s="32"/>
      <c r="T90" s="32"/>
      <c r="U90" s="32"/>
      <c r="V90" s="32"/>
      <c r="W90" s="32"/>
      <c r="X90" s="32"/>
      <c r="Y90" s="32"/>
      <c r="Z90" s="32"/>
    </row>
    <row r="91">
      <c r="A91" s="33">
        <v>90.0</v>
      </c>
      <c r="B91" s="34">
        <f t="shared" si="1"/>
        <v>30</v>
      </c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8">
        <v>30.0</v>
      </c>
      <c r="R91" s="32"/>
      <c r="S91" s="32"/>
      <c r="T91" s="32"/>
      <c r="U91" s="32"/>
      <c r="V91" s="32"/>
      <c r="W91" s="32"/>
      <c r="X91" s="32"/>
      <c r="Y91" s="32"/>
      <c r="Z91" s="32"/>
    </row>
    <row r="92">
      <c r="A92" s="33">
        <v>91.0</v>
      </c>
      <c r="B92" s="34">
        <f t="shared" si="1"/>
        <v>10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8">
        <v>10.0</v>
      </c>
      <c r="R92" s="32"/>
      <c r="S92" s="32"/>
      <c r="T92" s="32"/>
      <c r="U92" s="32"/>
      <c r="V92" s="32"/>
      <c r="W92" s="32"/>
      <c r="X92" s="32"/>
      <c r="Y92" s="32"/>
      <c r="Z92" s="32"/>
    </row>
    <row r="93">
      <c r="A93" s="33">
        <v>92.0</v>
      </c>
      <c r="B93" s="34">
        <f t="shared" si="1"/>
        <v>10</v>
      </c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8">
        <v>10.0</v>
      </c>
      <c r="R93" s="32"/>
      <c r="S93" s="32"/>
      <c r="T93" s="32"/>
      <c r="U93" s="32"/>
      <c r="V93" s="32"/>
      <c r="W93" s="32"/>
      <c r="X93" s="32"/>
      <c r="Y93" s="32"/>
      <c r="Z93" s="32"/>
    </row>
    <row r="94">
      <c r="A94" s="33">
        <v>93.0</v>
      </c>
      <c r="B94" s="34">
        <f t="shared" si="1"/>
        <v>10</v>
      </c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8">
        <v>10.0</v>
      </c>
      <c r="R94" s="32"/>
      <c r="S94" s="32"/>
      <c r="T94" s="32"/>
      <c r="U94" s="32"/>
      <c r="V94" s="32"/>
      <c r="W94" s="32"/>
      <c r="X94" s="32"/>
      <c r="Y94" s="32"/>
      <c r="Z94" s="32"/>
    </row>
    <row r="95">
      <c r="A95" s="33">
        <v>94.0</v>
      </c>
      <c r="B95" s="34">
        <f t="shared" si="1"/>
        <v>10</v>
      </c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8">
        <v>10.0</v>
      </c>
      <c r="S95" s="32"/>
      <c r="T95" s="32"/>
      <c r="U95" s="32"/>
      <c r="V95" s="32"/>
      <c r="W95" s="32"/>
      <c r="X95" s="32"/>
      <c r="Y95" s="32"/>
      <c r="Z95" s="32"/>
    </row>
    <row r="96">
      <c r="A96" s="33">
        <v>95.0</v>
      </c>
      <c r="B96" s="34">
        <f t="shared" si="1"/>
        <v>10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8"/>
      <c r="R96" s="38">
        <v>10.0</v>
      </c>
      <c r="S96" s="32"/>
      <c r="T96" s="32"/>
      <c r="U96" s="32"/>
      <c r="V96" s="32"/>
      <c r="W96" s="32"/>
      <c r="X96" s="32"/>
      <c r="Y96" s="32"/>
      <c r="Z96" s="32"/>
    </row>
    <row r="97">
      <c r="A97" s="33">
        <v>96.0</v>
      </c>
      <c r="B97" s="34">
        <f t="shared" si="1"/>
        <v>10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8"/>
      <c r="R97" s="38">
        <v>10.0</v>
      </c>
      <c r="S97" s="32"/>
      <c r="T97" s="32"/>
      <c r="U97" s="32"/>
      <c r="V97" s="32"/>
      <c r="W97" s="32"/>
      <c r="X97" s="32"/>
      <c r="Y97" s="32"/>
      <c r="Z97" s="32"/>
    </row>
    <row r="98">
      <c r="A98" s="33">
        <v>97.0</v>
      </c>
      <c r="B98" s="34">
        <f t="shared" si="1"/>
        <v>10</v>
      </c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8"/>
      <c r="R98" s="38">
        <v>10.0</v>
      </c>
      <c r="S98" s="32"/>
      <c r="T98" s="32"/>
      <c r="U98" s="32"/>
      <c r="V98" s="32"/>
      <c r="W98" s="32"/>
      <c r="X98" s="32"/>
      <c r="Y98" s="32"/>
      <c r="Z98" s="32"/>
    </row>
    <row r="99">
      <c r="A99" s="33">
        <v>98.0</v>
      </c>
      <c r="B99" s="34">
        <f t="shared" si="1"/>
        <v>15</v>
      </c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8"/>
      <c r="R99" s="38">
        <v>15.0</v>
      </c>
      <c r="S99" s="32"/>
      <c r="T99" s="32"/>
      <c r="U99" s="32"/>
      <c r="V99" s="32"/>
      <c r="W99" s="32"/>
      <c r="X99" s="32"/>
      <c r="Y99" s="32"/>
      <c r="Z99" s="32"/>
    </row>
    <row r="100">
      <c r="A100" s="33">
        <v>99.0</v>
      </c>
      <c r="B100" s="34">
        <f t="shared" si="1"/>
        <v>10</v>
      </c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8">
        <v>10.0</v>
      </c>
      <c r="S100" s="32"/>
      <c r="T100" s="32"/>
      <c r="U100" s="32"/>
      <c r="V100" s="32"/>
      <c r="W100" s="32"/>
      <c r="X100" s="32"/>
      <c r="Y100" s="32"/>
      <c r="Z100" s="32"/>
    </row>
    <row r="101">
      <c r="A101" s="33">
        <v>100.0</v>
      </c>
      <c r="B101" s="34">
        <f t="shared" si="1"/>
        <v>10</v>
      </c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8"/>
      <c r="R101" s="38">
        <v>10.0</v>
      </c>
      <c r="S101" s="32"/>
      <c r="T101" s="32"/>
      <c r="U101" s="32"/>
      <c r="V101" s="32"/>
      <c r="W101" s="32"/>
      <c r="X101" s="32"/>
      <c r="Y101" s="32"/>
      <c r="Z101" s="32"/>
    </row>
    <row r="102">
      <c r="A102" s="33">
        <v>101.0</v>
      </c>
      <c r="B102" s="34">
        <f t="shared" si="1"/>
        <v>60</v>
      </c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8"/>
      <c r="R102" s="38">
        <v>60.0</v>
      </c>
      <c r="S102" s="32"/>
      <c r="T102" s="32"/>
      <c r="U102" s="32"/>
      <c r="V102" s="32"/>
      <c r="W102" s="32"/>
      <c r="X102" s="32"/>
      <c r="Y102" s="32"/>
      <c r="Z102" s="32"/>
    </row>
    <row r="103">
      <c r="A103" s="33">
        <v>102.0</v>
      </c>
      <c r="B103" s="34">
        <f t="shared" si="1"/>
        <v>20</v>
      </c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8"/>
      <c r="R103" s="38">
        <v>20.0</v>
      </c>
      <c r="S103" s="32"/>
      <c r="T103" s="32"/>
      <c r="U103" s="32"/>
      <c r="V103" s="32"/>
      <c r="W103" s="32"/>
      <c r="X103" s="32"/>
      <c r="Y103" s="32"/>
      <c r="Z103" s="32"/>
    </row>
    <row r="104">
      <c r="A104" s="33"/>
      <c r="B104" s="34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8"/>
      <c r="R104" s="32"/>
      <c r="S104" s="32"/>
      <c r="T104" s="32"/>
      <c r="U104" s="32"/>
      <c r="V104" s="32"/>
      <c r="W104" s="32"/>
      <c r="X104" s="32"/>
      <c r="Y104" s="32"/>
      <c r="Z104" s="32"/>
    </row>
    <row r="105">
      <c r="A105" s="33"/>
      <c r="B105" s="34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>
      <c r="A106" s="33"/>
      <c r="B106" s="34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8"/>
      <c r="R106" s="32"/>
      <c r="S106" s="32"/>
      <c r="T106" s="32"/>
      <c r="U106" s="32"/>
      <c r="V106" s="32"/>
      <c r="W106" s="32"/>
      <c r="X106" s="32"/>
      <c r="Y106" s="32"/>
      <c r="Z106" s="32"/>
    </row>
    <row r="107">
      <c r="A107" s="33"/>
      <c r="B107" s="34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8"/>
      <c r="R107" s="32"/>
      <c r="S107" s="32"/>
      <c r="T107" s="32"/>
      <c r="U107" s="32"/>
      <c r="V107" s="32"/>
      <c r="W107" s="32"/>
      <c r="X107" s="32"/>
      <c r="Y107" s="32"/>
      <c r="Z107" s="32"/>
    </row>
    <row r="108">
      <c r="A108" s="33"/>
      <c r="B108" s="34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8"/>
      <c r="R108" s="32"/>
      <c r="S108" s="32"/>
      <c r="T108" s="32"/>
      <c r="U108" s="32"/>
      <c r="V108" s="32"/>
      <c r="W108" s="32"/>
      <c r="X108" s="32"/>
      <c r="Y108" s="32"/>
      <c r="Z108" s="32"/>
    </row>
    <row r="109">
      <c r="A109" s="33"/>
      <c r="B109" s="34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8"/>
      <c r="R109" s="32"/>
      <c r="S109" s="32"/>
      <c r="T109" s="32"/>
      <c r="U109" s="32"/>
      <c r="V109" s="32"/>
      <c r="W109" s="32"/>
      <c r="X109" s="32"/>
      <c r="Y109" s="32"/>
      <c r="Z109" s="32"/>
    </row>
    <row r="110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  <row r="1001">
      <c r="A1001" s="32"/>
      <c r="B1001" s="32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</row>
    <row r="1002">
      <c r="A1002" s="32"/>
      <c r="B1002" s="32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20.5"/>
    <col customWidth="1" min="3" max="3" width="18.25"/>
    <col customWidth="1" min="4" max="4" width="19.13"/>
    <col customWidth="1" min="5" max="5" width="17.88"/>
  </cols>
  <sheetData>
    <row r="1">
      <c r="A1" s="40" t="s">
        <v>138</v>
      </c>
      <c r="B1" s="40" t="s">
        <v>139</v>
      </c>
      <c r="C1" s="40" t="s">
        <v>140</v>
      </c>
      <c r="D1" s="40" t="s">
        <v>141</v>
      </c>
      <c r="E1" s="40" t="s">
        <v>142</v>
      </c>
      <c r="F1" s="41" t="s">
        <v>143</v>
      </c>
    </row>
    <row r="2">
      <c r="A2" s="34">
        <f>SUM('liste des taches'!H:H)</f>
        <v>3195</v>
      </c>
      <c r="B2" s="34">
        <f>SUM('liste des taches'!I:I)</f>
        <v>3775</v>
      </c>
      <c r="C2" s="34">
        <f>SUM('liste des taches'!J:J)</f>
        <v>0</v>
      </c>
      <c r="D2" s="42">
        <f>(B2/(B2+C2))</f>
        <v>1</v>
      </c>
      <c r="E2" s="43">
        <f>((B2+C2)-A2)/A2</f>
        <v>0.1815336463</v>
      </c>
      <c r="F2" s="26">
        <f>ROUNDDOWN(D2*10,0)</f>
        <v>10</v>
      </c>
    </row>
    <row r="3">
      <c r="A3" s="32"/>
      <c r="B3" s="32"/>
      <c r="C3" s="34">
        <f>C2/60</f>
        <v>0</v>
      </c>
      <c r="D3" s="44" t="s">
        <v>144</v>
      </c>
      <c r="E3" s="32"/>
    </row>
  </sheetData>
  <drawing r:id="rId1"/>
</worksheet>
</file>